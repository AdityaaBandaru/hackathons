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6009a6d454d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d7d4acce27045ad"/>
    <x:sheet xmlns:r="http://schemas.openxmlformats.org/officeDocument/2006/relationships" name="Funding" sheetId="2" r:id="R619667645a7a4ce5"/>
    <x:sheet xmlns:r="http://schemas.openxmlformats.org/officeDocument/2006/relationships" name="NJ Match Data" sheetId="3" r:id="R4696083bb7644f2b"/>
    <x:sheet xmlns:r="http://schemas.openxmlformats.org/officeDocument/2006/relationships" name="Observed Summary" sheetId="4" r:id="R75f7a4cb6f0d4dc3"/>
    <x:sheet xmlns:r="http://schemas.openxmlformats.org/officeDocument/2006/relationships" name="City Profiles" sheetId="5" r:id="Ra57d6ab303e14663"/>
    <x:sheet xmlns:r="http://schemas.openxmlformats.org/officeDocument/2006/relationships" name="Interventions" sheetId="6" r:id="R9bb54635b6944274"/>
    <x:sheet xmlns:r="http://schemas.openxmlformats.org/officeDocument/2006/relationships" name="City Multipliers" sheetId="7" r:id="R1e1b4a9d44f04c57"/>
    <x:sheet xmlns:r="http://schemas.openxmlformats.org/officeDocument/2006/relationships" name="Model Outputs" sheetId="8" r:id="R26b4239675274510"/>
    <x:sheet xmlns:r="http://schemas.openxmlformats.org/officeDocument/2006/relationships" name="Legacy Projects" sheetId="9" r:id="R018d1a6511f84338"/>
    <x:sheet xmlns:r="http://schemas.openxmlformats.org/officeDocument/2006/relationships" name="Sources" sheetId="10" r:id="Re55345ceb3b14858"/>
    <x:sheet xmlns:r="http://schemas.openxmlformats.org/officeDocument/2006/relationships" name="Data Dictionary" sheetId="11" r:id="Rd9a1faff2986482a"/>
    <x:sheet xmlns:r="http://schemas.openxmlformats.org/officeDocument/2006/relationships" name="QA Checks" sheetId="12" r:id="R7824675b6834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$#,##0"/>
    <x:numFmt numFmtId="201" formatCode="#,##0"/>
    <x:numFmt numFmtId="202" formatCode="0.00x"/>
    <x:numFmt numFmtId="203" formatCode="0.00%"/>
    <x:numFmt numFmtId="204" formatCode="#,##0.00"/>
    <x:numFmt numFmtId="205" formatCode="0.0%"/>
    <x:numFmt numFmtId="206" formatCode="$0.00"/>
    <x:numFmt numFmtId="207" formatCode="#,##0.0"/>
    <x:numFmt numFmtId="208" formatCode="0.000"/>
    <x:numFmt numFmtId="209" formatCode="0.00000"/>
    <x:numFmt numFmtId="210" formatCode="0.00"/>
  </x:numFmts>
  <x:fonts count="11">
    <x:font>
      <x:sz val="11"/>
      <x:name val="Carlito"/>
    </x:font>
    <x:font>
      <x:b/>
      <x:sz val="22"/>
      <x:color rgb="FFFFFFFF"/>
      <x:name val="Carlito"/>
    </x:font>
    <x:font>
      <x:i/>
      <x:sz val="11"/>
      <x:color rgb="FF172033"/>
      <x:name val="Carlito"/>
    </x:font>
    <x:font>
      <x:b/>
      <x:sz val="11"/>
      <x:color rgb="FFFFFFFF"/>
      <x:name val="Carlito"/>
    </x:font>
    <x:font>
      <x:b/>
      <x:sz val="18"/>
      <x:color rgb="FF172033"/>
      <x:name val="Carlito"/>
    </x:font>
    <x:font>
      <x:b/>
      <x:sz val="18"/>
      <x:color rgb="FFFFFFFF"/>
      <x:name val="Carlito"/>
    </x:font>
    <x:font>
      <x:i/>
      <x:sz val="10"/>
      <x:color rgb="FF172033"/>
      <x:name val="Carlito"/>
    </x:font>
    <x:font>
      <x:sz val="10"/>
      <x:color rgb="FF172033"/>
      <x:name val="Carlito"/>
    </x:font>
    <x:font>
      <x:b/>
      <x:sz val="11"/>
      <x:color rgb="FF172033"/>
      <x:name val="Carlito"/>
    </x:font>
    <x:font>
      <x:b/>
      <x:sz val="22"/>
      <x:color rgb="FFFFFFFF"/>
      <x:name val="Aptos Display"/>
    </x:font>
    <x:font>
      <x:b/>
      <x:sz val="18"/>
      <x:color rgb="FFFFFFFF"/>
      <x:name val="Aptos Display"/>
    </x:font>
  </x:fonts>
  <x:fills count="14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A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D97706"/>
      </x:patternFill>
    </x:fill>
    <x:fill>
      <x:patternFill patternType="solid">
        <x:fgColor rgb="FF7C3AED"/>
      </x:patternFill>
    </x:fill>
    <x:fill>
      <x:patternFill patternType="solid">
        <x:fgColor rgb="FF16324F"/>
      </x:patternFill>
    </x:fill>
    <x:fill>
      <x:patternFill patternType="solid">
        <x:fgColor rgb="FFE8F5F2"/>
      </x:patternFill>
    </x:fill>
    <x:fill>
      <x:patternFill patternType="solid">
        <x:fgColor rgb="FFFFF4DF"/>
      </x:patternFill>
    </x:fill>
    <x:fill>
      <x:patternFill patternType="solid">
        <x:fgColor rgb="FFF1ECFF"/>
      </x:patternFill>
    </x:fill>
    <x:fill>
      <x:patternFill patternType="solid">
        <x:fgColor rgb="FFF4F6F8"/>
      </x:patternFill>
    </x:fill>
  </x:fills>
  <x:borders count="17">
    <x:border/>
    <x:border>
      <x:left style="thin">
        <x:color rgb="FFDCE3EA"/>
      </x:left>
      <x:top style="thin">
        <x:color rgb="FFDCE3EA"/>
      </x:top>
    </x:border>
    <x:border>
      <x:top style="thin">
        <x:color rgb="FFDCE3EA"/>
      </x:top>
    </x:border>
    <x:border>
      <x:right style="thin">
        <x:color rgb="FFDCE3EA"/>
      </x:right>
      <x:top style="thin">
        <x:color rgb="FFDCE3EA"/>
      </x:top>
    </x:border>
    <x:border>
      <x:left style="thin">
        <x:color rgb="FFDCE3EA"/>
      </x:left>
      <x:bottom style="thin">
        <x:color rgb="FFDCE3EA"/>
      </x:bottom>
    </x:border>
    <x:border>
      <x:bottom style="thin">
        <x:color rgb="FFDCE3EA"/>
      </x:bottom>
    </x:border>
    <x:border>
      <x:right style="thin">
        <x:color rgb="FFDCE3EA"/>
      </x:right>
      <x:bottom style="thin">
        <x:color rgb="FFDCE3EA"/>
      </x:bottom>
    </x:border>
    <x:border>
      <x:top style="thin">
        <x:color rgb="FFDCE3EA"/>
      </x:top>
      <x:bottom style="thin">
        <x:color rgb="FFDCE3EA"/>
      </x:bottom>
    </x:border>
    <x:border>
      <x:top style="double">
        <x:color rgb="FF0F766E"/>
      </x:top>
    </x:border>
    <x:border>
      <x:left style="thin">
        <x:color rgb="FF7C3AED"/>
      </x:left>
      <x:top style="thin">
        <x:color rgb="FF7C3AED"/>
      </x:top>
    </x:border>
    <x:border>
      <x:top style="thin">
        <x:color rgb="FF7C3AED"/>
      </x:top>
    </x:border>
    <x:border>
      <x:right style="thin">
        <x:color rgb="FF7C3AED"/>
      </x:right>
      <x:top style="thin">
        <x:color rgb="FF7C3AED"/>
      </x:top>
    </x:border>
    <x:border>
      <x:left style="thin">
        <x:color rgb="FF7C3AED"/>
      </x:left>
    </x:border>
    <x:border>
      <x:right style="thin">
        <x:color rgb="FF7C3AED"/>
      </x:right>
    </x:border>
    <x:border>
      <x:left style="thin">
        <x:color rgb="FF7C3AED"/>
      </x:left>
      <x:bottom style="thin">
        <x:color rgb="FF7C3AED"/>
      </x:bottom>
    </x:border>
    <x:border>
      <x:bottom style="thin">
        <x:color rgb="FF7C3AED"/>
      </x:bottom>
    </x:border>
    <x:border>
      <x:right style="thin">
        <x:color rgb="FF7C3AED"/>
      </x:right>
      <x:bottom style="thin">
        <x:color rgb="FF7C3AED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5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5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3" fillId="9" borderId="5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200" fontId="0" fillId="0" borderId="7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0" fillId="12" borderId="0" xfId="0" applyNumberFormat="1" applyFont="1" applyFill="1" applyBorder="1"/>
    <x:xf numFmtId="0" fontId="0" fillId="13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/>
    <x:xf numFmtId="0" fontId="7" fillId="0" borderId="7" xfId="0" applyNumberFormat="1" applyFont="1" applyFill="1" applyBorder="1" applyAlignment="1">
      <x:alignment vertical="top"/>
    </x:xf>
    <x:xf numFmtId="0" fontId="8" fillId="10" borderId="0" xfId="0" applyNumberFormat="1" applyFont="1" applyFill="1" applyBorder="1"/>
    <x:xf numFmtId="0" fontId="8" fillId="10" borderId="8" xfId="0" applyNumberFormat="1" applyFont="1" applyFill="1" applyBorder="1"/>
    <x:xf numFmtId="200" fontId="7" fillId="0" borderId="7" xfId="0" applyNumberFormat="1" applyFont="1" applyFill="1" applyBorder="1" applyAlignment="1">
      <x:alignment vertical="top"/>
    </x:xf>
    <x:xf numFmtId="200" fontId="8" fillId="10" borderId="8" xfId="0" applyNumberFormat="1" applyFont="1" applyFill="1" applyBorder="1"/>
    <x:xf numFmtId="203" fontId="7" fillId="0" borderId="7" xfId="0" applyNumberFormat="1" applyFont="1" applyFill="1" applyBorder="1" applyAlignment="1">
      <x:alignment vertical="top"/>
    </x:xf>
    <x:xf numFmtId="203" fontId="8" fillId="10" borderId="8" xfId="0" applyNumberFormat="1" applyFont="1" applyFill="1" applyBorder="1"/>
    <x:xf numFmtId="201" fontId="7" fillId="0" borderId="7" xfId="0" applyNumberFormat="1" applyFont="1" applyFill="1" applyBorder="1" applyAlignment="1">
      <x:alignment vertical="top"/>
    </x:xf>
    <x:xf numFmtId="202" fontId="7" fillId="0" borderId="7" xfId="0" applyNumberFormat="1" applyFont="1" applyFill="1" applyBorder="1" applyAlignment="1">
      <x:alignment vertical="top"/>
    </x:xf>
    <x:xf numFmtId="0" fontId="7" fillId="3" borderId="7" xfId="0" applyNumberFormat="1" applyFont="1" applyFill="1" applyBorder="1" applyAlignment="1">
      <x:alignment vertical="top"/>
    </x:xf>
    <x:xf numFmtId="201" fontId="7" fillId="3" borderId="7" xfId="0" applyNumberFormat="1" applyFont="1" applyFill="1" applyBorder="1" applyAlignment="1">
      <x:alignment vertical="top"/>
    </x:xf>
    <x:xf numFmtId="202" fontId="7" fillId="3" borderId="7" xfId="0" applyNumberFormat="1" applyFont="1" applyFill="1" applyBorder="1" applyAlignment="1">
      <x:alignment vertical="top"/>
    </x:xf>
    <x:xf numFmtId="0" fontId="7" fillId="11" borderId="7" xfId="0" applyNumberFormat="1" applyFont="1" applyFill="1" applyBorder="1" applyAlignment="1">
      <x:alignment vertical="top"/>
    </x:xf>
    <x:xf numFmtId="201" fontId="7" fillId="11" borderId="7" xfId="0" applyNumberFormat="1" applyFont="1" applyFill="1" applyBorder="1" applyAlignment="1">
      <x:alignment vertical="top"/>
    </x:xf>
    <x:xf numFmtId="202" fontId="7" fillId="11" borderId="7" xfId="0" applyNumberFormat="1" applyFont="1" applyFill="1" applyBorder="1" applyAlignment="1">
      <x:alignment vertical="top"/>
    </x:xf>
    <x:xf numFmtId="204" fontId="7" fillId="0" borderId="7" xfId="0" applyNumberFormat="1" applyFont="1" applyFill="1" applyBorder="1" applyAlignment="1">
      <x:alignment vertical="top"/>
    </x:xf>
    <x:xf numFmtId="205" fontId="7" fillId="0" borderId="7" xfId="0" applyNumberFormat="1" applyFont="1" applyFill="1" applyBorder="1" applyAlignment="1">
      <x:alignment vertical="top"/>
    </x:xf>
    <x:xf numFmtId="206" fontId="7" fillId="0" borderId="7" xfId="0" applyNumberFormat="1" applyFont="1" applyFill="1" applyBorder="1" applyAlignment="1">
      <x:alignment vertical="top"/>
    </x:xf>
    <x:xf numFmtId="207" fontId="7" fillId="0" borderId="7" xfId="0" applyNumberFormat="1" applyFont="1" applyFill="1" applyBorder="1" applyAlignment="1">
      <x:alignment vertical="top"/>
    </x:xf>
    <x:xf numFmtId="208" fontId="7" fillId="0" borderId="7" xfId="0" applyNumberFormat="1" applyFont="1" applyFill="1" applyBorder="1" applyAlignment="1">
      <x:alignment vertical="top"/>
    </x:xf>
    <x:xf numFmtId="209" fontId="7" fillId="0" borderId="7" xfId="0" applyNumberFormat="1" applyFont="1" applyFill="1" applyBorder="1" applyAlignment="1">
      <x:alignment vertical="top"/>
    </x:xf>
    <x:xf numFmtId="210" fontId="7" fillId="0" borderId="7" xfId="0" applyNumberFormat="1" applyFont="1" applyFill="1" applyBorder="1" applyAlignment="1">
      <x:alignment vertical="top"/>
    </x:xf>
    <x:xf numFmtId="0" fontId="3" fillId="6" borderId="5" xfId="0" applyNumberFormat="1" applyFont="1" applyFill="1" applyBorder="1"/>
    <x:xf numFmtId="0" fontId="8" fillId="12" borderId="0" xfId="0" applyNumberFormat="1" applyFont="1" applyFill="1" applyBorder="1"/>
    <x:xf numFmtId="0" fontId="8" fillId="12" borderId="9" xfId="0" applyNumberFormat="1" applyFont="1" applyFill="1" applyBorder="1"/>
    <x:xf numFmtId="0" fontId="8" fillId="12" borderId="10" xfId="0" applyNumberFormat="1" applyFont="1" applyFill="1" applyBorder="1"/>
    <x:xf numFmtId="0" fontId="8" fillId="12" borderId="11" xfId="0" applyNumberFormat="1" applyFont="1" applyFill="1" applyBorder="1"/>
    <x:xf numFmtId="0" fontId="8" fillId="12" borderId="12" xfId="0" applyNumberFormat="1" applyFont="1" applyFill="1" applyBorder="1"/>
    <x:xf numFmtId="0" fontId="8" fillId="12" borderId="13" xfId="0" applyNumberFormat="1" applyFont="1" applyFill="1" applyBorder="1"/>
    <x:xf numFmtId="0" fontId="8" fillId="12" borderId="14" xfId="0" applyNumberFormat="1" applyFont="1" applyFill="1" applyBorder="1"/>
    <x:xf numFmtId="0" fontId="8" fillId="12" borderId="15" xfId="0" applyNumberFormat="1" applyFont="1" applyFill="1" applyBorder="1"/>
    <x:xf numFmtId="0" fontId="8" fillId="12" borderId="16" xfId="0" applyNumberFormat="1" applyFont="1" applyFill="1" applyBorder="1"/>
    <x:xf numFmtId="0" fontId="8" fillId="12" borderId="9" xfId="0" applyNumberFormat="1" applyFont="1" applyFill="1" applyBorder="1" applyAlignment="1">
      <x:alignment wrapText="1"/>
    </x:xf>
    <x:xf numFmtId="0" fontId="8" fillId="12" borderId="10" xfId="0" applyNumberFormat="1" applyFont="1" applyFill="1" applyBorder="1" applyAlignment="1">
      <x:alignment wrapText="1"/>
    </x:xf>
    <x:xf numFmtId="0" fontId="8" fillId="12" borderId="11" xfId="0" applyNumberFormat="1" applyFont="1" applyFill="1" applyBorder="1" applyAlignment="1">
      <x:alignment wrapText="1"/>
    </x:xf>
    <x:xf numFmtId="0" fontId="8" fillId="12" borderId="12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wrapText="1"/>
    </x:xf>
    <x:xf numFmtId="0" fontId="8" fillId="12" borderId="13" xfId="0" applyNumberFormat="1" applyFont="1" applyFill="1" applyBorder="1" applyAlignment="1">
      <x:alignment wrapText="1"/>
    </x:xf>
    <x:xf numFmtId="0" fontId="8" fillId="12" borderId="14" xfId="0" applyNumberFormat="1" applyFont="1" applyFill="1" applyBorder="1" applyAlignment="1">
      <x:alignment wrapText="1"/>
    </x:xf>
    <x:xf numFmtId="0" fontId="8" fillId="12" borderId="15" xfId="0" applyNumberFormat="1" applyFont="1" applyFill="1" applyBorder="1" applyAlignment="1">
      <x:alignment wrapText="1"/>
    </x:xf>
    <x:xf numFmtId="0" fontId="8" fillId="12" borderId="16" xfId="0" applyNumberFormat="1" applyFont="1" applyFill="1" applyBorder="1" applyAlignment="1">
      <x:alignment wrapText="1"/>
    </x:xf>
    <x:xf numFmtId="0" fontId="8" fillId="12" borderId="9" xfId="0" applyNumberFormat="1" applyFont="1" applyFill="1" applyBorder="1" applyAlignment="1">
      <x:alignment vertical="center" wrapText="1"/>
    </x:xf>
    <x:xf numFmtId="0" fontId="8" fillId="12" borderId="10" xfId="0" applyNumberFormat="1" applyFont="1" applyFill="1" applyBorder="1" applyAlignment="1">
      <x:alignment vertical="center" wrapText="1"/>
    </x:xf>
    <x:xf numFmtId="0" fontId="8" fillId="12" borderId="11" xfId="0" applyNumberFormat="1" applyFont="1" applyFill="1" applyBorder="1" applyAlignment="1">
      <x:alignment vertical="center" wrapText="1"/>
    </x:xf>
    <x:xf numFmtId="0" fontId="8" fillId="12" borderId="12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8" fillId="12" borderId="13" xfId="0" applyNumberFormat="1" applyFont="1" applyFill="1" applyBorder="1" applyAlignment="1">
      <x:alignment vertical="center" wrapText="1"/>
    </x:xf>
    <x:xf numFmtId="0" fontId="8" fillId="12" borderId="14" xfId="0" applyNumberFormat="1" applyFont="1" applyFill="1" applyBorder="1" applyAlignment="1">
      <x:alignment vertical="center" wrapText="1"/>
    </x:xf>
    <x:xf numFmtId="0" fontId="8" fillId="12" borderId="15" xfId="0" applyNumberFormat="1" applyFont="1" applyFill="1" applyBorder="1" applyAlignment="1">
      <x:alignment vertical="center" wrapText="1"/>
    </x:xf>
    <x:xf numFmtId="0" fontId="8" fillId="12" borderId="16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5803D"/>
      </x:font>
      <x:fill>
        <x:patternFill patternType="solid">
          <x:bgColor rgb="FFE8F5F2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0c7eedf4e645f5" /><Relationship Type="http://schemas.openxmlformats.org/officeDocument/2006/relationships/theme" Target="/xl/theme/theme1.xml" Id="R1e6cfaf09cdc4b5c" /><Relationship Type="http://schemas.openxmlformats.org/officeDocument/2006/relationships/sharedStrings" Target="/xl/sharedStrings.xml" Id="R583fa204810c4c61" /><Relationship Type="http://schemas.openxmlformats.org/officeDocument/2006/relationships/worksheet" Target="/xl/worksheets/sheet1.xml" Id="R3d7d4acce27045ad" /><Relationship Type="http://schemas.openxmlformats.org/officeDocument/2006/relationships/worksheet" Target="/xl/worksheets/sheet2.xml" Id="R619667645a7a4ce5" /><Relationship Type="http://schemas.openxmlformats.org/officeDocument/2006/relationships/worksheet" Target="/xl/worksheets/sheet3.xml" Id="R4696083bb7644f2b" /><Relationship Type="http://schemas.openxmlformats.org/officeDocument/2006/relationships/worksheet" Target="/xl/worksheets/sheet4.xml" Id="R75f7a4cb6f0d4dc3" /><Relationship Type="http://schemas.openxmlformats.org/officeDocument/2006/relationships/worksheet" Target="/xl/worksheets/sheet5.xml" Id="Ra57d6ab303e14663" /><Relationship Type="http://schemas.openxmlformats.org/officeDocument/2006/relationships/worksheet" Target="/xl/worksheets/sheet6.xml" Id="R9bb54635b6944274" /><Relationship Type="http://schemas.openxmlformats.org/officeDocument/2006/relationships/worksheet" Target="/xl/worksheets/sheet7.xml" Id="R1e1b4a9d44f04c57" /><Relationship Type="http://schemas.openxmlformats.org/officeDocument/2006/relationships/worksheet" Target="/xl/worksheets/sheet8.xml" Id="R26b4239675274510" /><Relationship Type="http://schemas.openxmlformats.org/officeDocument/2006/relationships/worksheet" Target="/xl/worksheets/sheet9.xml" Id="R018d1a6511f84338" /><Relationship Type="http://schemas.openxmlformats.org/officeDocument/2006/relationships/worksheet" Target="/xl/worksheets/sheet10.xml" Id="Re55345ceb3b14858" /><Relationship Type="http://schemas.openxmlformats.org/officeDocument/2006/relationships/worksheet" Target="/xl/worksheets/sheet11.xml" Id="Rd9a1faff2986482a" /><Relationship Type="http://schemas.openxmlformats.org/officeDocument/2006/relationships/worksheet" Target="/xl/worksheets/sheet12.xml" Id="R7824675b683446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18cebeec364ce3" /><Relationship Type="http://schemas.openxmlformats.org/officeDocument/2006/relationships/chart" Target="/xl/drawings/charts/chart2.xml" Id="R941da58b3b5e4c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Official FTA allocation by host region ($)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FTA allocation</c:v>
          </c:tx>
          <c:cat>
            <c:strRef>
              <c:f>'Dashboard'!$I$11:$I$21</c:f>
              <c:strCache>
                <c:ptCount val="0"/>
              </c:strCache>
            </c:strRef>
          </c:cat>
          <c:val>
            <c:numRef>
              <c:f>'Dashboard'!$J$11:$J$21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,,&quot;m&quot;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NJNY pedestrian demand exceeded the plan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Planned pedestrians</c:v>
          </c:tx>
          <c:marker>
            <c:symbol val="none"/>
          </c:marker>
          <c:cat>
            <c:strRef>
              <c:f>'Dashboard'!$A$26:$A$33</c:f>
              <c:strCache>
                <c:ptCount val="0"/>
              </c:strCache>
            </c:strRef>
          </c:cat>
          <c:val>
            <c:numRef>
              <c:f>'Dashboard'!$B$26:$B$33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Observed pedestrians</c:v>
          </c:tx>
          <c:marker>
            <c:symbol val="none"/>
          </c:marker>
          <c:cat>
            <c:strRef>
              <c:f>'Dashboard'!$A$26:$A$33</c:f>
              <c:strCache>
                <c:ptCount val="0"/>
              </c:strCache>
            </c:strRef>
          </c:cat>
          <c:val>
            <c:numRef>
              <c:f>'Dashboard'!$C$26:$C$33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22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18cebeec364ce3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7</xdr:col>
      <xdr:colOff>0</xdr:colOff>
      <xdr:row>51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41da58b3b5e4c2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dingTable" displayName="FundingTable" ref="A4:H15" headerRowCount="1" totalsRowCount="0" totalsRowShown="0">
  <x:autoFilter ref="A4:H15"/>
  <x:tableColumns count="8">
    <x:tableColumn id="1" name="city_id"/>
    <x:tableColumn id="2" name="host_region"/>
    <x:tableColumn id="3" name="allocation_usd"/>
    <x:tableColumn id="4" name="share_of_total"/>
    <x:tableColumn id="5" name="source_id"/>
    <x:tableColumn id="6" name="evidence_class"/>
    <x:tableColumn id="7" name="optimizer_budget"/>
    <x:tableColumn id="8" name="treatment_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JMatchTable" displayName="NJMatchTable" ref="A4:X13" headerRowCount="1" totalsRowCount="0" totalsRowShown="0">
  <x:autoFilter ref="A4:X13"/>
  <x:tableColumns count="24">
    <x:tableColumn id="1" name="record_type"/>
    <x:tableColumn id="2" name="match_no"/>
    <x:tableColumn id="3" name="fixture"/>
    <x:tableColumn id="4" name="ticket_holders"/>
    <x:tableColumn id="5" name="uber_count"/>
    <x:tableColumn id="6" name="uber_egress_min"/>
    <x:tableColumn id="7" name="host_shuttles"/>
    <x:tableColumn id="8" name="shuttle_egress_min"/>
    <x:tableColumn id="9" name="njt_ingress"/>
    <x:tableColumn id="10" name="njt_egress"/>
    <x:tableColumn id="11" name="njt_egress_min"/>
    <x:tableColumn id="12" name="american_dream_bus"/>
    <x:tableColumn id="13" name="american_dream_parking"/>
    <x:tableColumn id="14" name="american_dream_pedestrians"/>
    <x:tableColumn id="15" name="unallocated"/>
    <x:tableColumn id="16" name="mathematical_dropoff"/>
    <x:tableColumn id="17" name="likely_hospitality"/>
    <x:tableColumn id="18" name="likely_dropoff"/>
    <x:tableColumn id="19" name="uber_vs_plan"/>
    <x:tableColumn id="20" name="pedestrians_vs_plan"/>
    <x:tableColumn id="21" name="rail_egress_people_per_hour"/>
    <x:tableColumn id="22" name="evidence_class"/>
    <x:tableColumn id="23" name="source_id"/>
    <x:tableColumn id="24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bservedSummaryTable" displayName="ObservedSummaryTable" ref="A4:K53" headerRowCount="1" totalsRowCount="0" totalsRowShown="0">
  <x:autoFilter ref="A4:K53"/>
  <x:tableColumns count="11">
    <x:tableColumn id="1" name="observation_id"/>
    <x:tableColumn id="2" name="region"/>
    <x:tableColumn id="3" name="date_or_scope"/>
    <x:tableColumn id="4" name="metric"/>
    <x:tableColumn id="5" name="value"/>
    <x:tableColumn id="6" name="unit"/>
    <x:tableColumn id="7" name="qualifier"/>
    <x:tableColumn id="8" name="evidence_class"/>
    <x:tableColumn id="9" name="model_use"/>
    <x:tableColumn id="10" name="source_id"/>
    <x:tableColumn id="11" name="source_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ProfilesTable" displayName="CityProfilesTable" ref="A4:M15" headerRowCount="1" totalsRowCount="0" totalsRowShown="0">
  <x:autoFilter ref="A4:M15"/>
  <x:tableColumns count="13">
    <x:tableColumn id="1" name="city_id"/>
    <x:tableColumn id="2" name="host_region"/>
    <x:tableColumn id="3" name="matches"/>
    <x:tableColumn id="4" name="stadium_capacity"/>
    <x:tableColumn id="5" name="tournament_demand"/>
    <x:tableColumn id="6" name="demand_class"/>
    <x:tableColumn id="7" name="venue_access_type"/>
    <x:tableColumn id="8" name="adjacent_rail_stops"/>
    <x:tableColumn id="9" name="air_gateways"/>
    <x:tableColumn id="10" name="transfer_structure"/>
    <x:tableColumn id="11" name="dominant_bottleneck"/>
    <x:tableColumn id="12" name="fta_usd_per_attendee"/>
    <x:tableColumn id="13" name="funding_source_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terventionsTable" displayName="InterventionsTable" ref="A4:Q16" headerRowCount="1" totalsRowCount="0" totalsRowShown="0">
  <x:autoFilter ref="A4:Q16"/>
  <x:tableColumns count="17">
    <x:tableColumn id="1" name="code"/>
    <x:tableColumn id="2" name="intervention_id"/>
    <x:tableColumn id="3" name="name"/>
    <x:tableColumn id="4" name="decision_unit"/>
    <x:tableColumn id="5" name="low_cost_usd"/>
    <x:tableColumn id="6" name="typical_cost_usd"/>
    <x:tableColumn id="7" name="high_cost_usd"/>
    <x:tableColumn id="8" name="max_units"/>
    <x:tableColumn id="9" name="permanence"/>
    <x:tableColumn id="10" name="useful_life_years"/>
    <x:tableColumn id="11" name="passenger_minutes_saved"/>
    <x:tableColumn id="12" name="vehicle_hours_avoided"/>
    <x:tableColumn id="13" name="co2_tonnes_avoided"/>
    <x:tableColumn id="14" name="accessible_trips_improved"/>
    <x:tableColumn id="15" name="reliability_risk_pp_reduction"/>
    <x:tableColumn id="16" name="evidence_class"/>
    <x:tableColumn id="17" name="methodology_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MultipliersTable" displayName="CityMultipliersTable" ref="A4:O15" headerRowCount="1" totalsRowCount="0" totalsRowShown="0">
  <x:autoFilter ref="A4:O15"/>
  <x:tableColumns count="15">
    <x:tableColumn id="1" name="host_region"/>
    <x:tableColumn id="2" name="service"/>
    <x:tableColumn id="3" name="buslane"/>
    <x:tableColumn id="4" name="signals"/>
    <x:tableColumn id="5" name="hub"/>
    <x:tableColumn id="6" name="parkride"/>
    <x:tableColumn id="7" name="pedestrian"/>
    <x:tableColumn id="8" name="bike"/>
    <x:tableColumn id="9" name="rideshare"/>
    <x:tableColumn id="10" name="wayfinding"/>
    <x:tableColumn id="11" name="station"/>
    <x:tableColumn id="12" name="traffic_ops"/>
    <x:tableColumn id="13" name="accessibility"/>
    <x:tableColumn id="14" name="evidence_class"/>
    <x:tableColumn id="15" name="calibration_reas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delOutputsTable" displayName="ModelOutputsTable" ref="A4:Q15" headerRowCount="1" totalsRowCount="0" totalsRowShown="0">
  <x:autoFilter ref="A4:Q15"/>
  <x:tableColumns count="17">
    <x:tableColumn id="1" name="host_region"/>
    <x:tableColumn id="2" name="budget_usd"/>
    <x:tableColumn id="3" name="spent_usd"/>
    <x:tableColumn id="4" name="unspent_usd"/>
    <x:tableColumn id="5" name="objective_score"/>
    <x:tableColumn id="6" name="selected_quantities_json"/>
    <x:tableColumn id="7" name="passenger_hours_saved"/>
    <x:tableColumn id="8" name="avg_minutes_saved_per_attendee"/>
    <x:tableColumn id="9" name="vehicle_hours_avoided"/>
    <x:tableColumn id="10" name="co2_tonnes_avoided"/>
    <x:tableColumn id="11" name="accessible_trips_improved"/>
    <x:tableColumn id="12" name="reliability_risk_pp_reduction"/>
    <x:tableColumn id="13" name="next_best_intervention"/>
    <x:tableColumn id="14" name="next_unit_no"/>
    <x:tableColumn id="15" name="next_unit_cost_usd"/>
    <x:tableColumn id="16" name="evidence_class"/>
    <x:tableColumn id="17" name="model_ver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egacyProjectsTable" displayName="LegacyProjectsTable" ref="A4:Q12" headerRowCount="1" totalsRowCount="0" totalsRowShown="0">
  <x:autoFilter ref="A4:Q12"/>
  <x:tableColumns count="17">
    <x:tableColumn id="1" name="project_id"/>
    <x:tableColumn id="2" name="city_id"/>
    <x:tableColumn id="3" name="intervention_id"/>
    <x:tableColumn id="4" name="project_name"/>
    <x:tableColumn id="5" name="visual_type"/>
    <x:tableColumn id="6" name="latitude"/>
    <x:tableColumn id="7" name="longitude"/>
    <x:tableColumn id="8" name="bearing_deg"/>
    <x:tableColumn id="9" name="useful_life_years"/>
    <x:tableColumn id="10" name="quantity"/>
    <x:tableColumn id="11" name="unit"/>
    <x:tableColumn id="12" name="conceptual_design"/>
    <x:tableColumn id="13" name="implementation_status"/>
    <x:tableColumn id="14" name="evidence_class"/>
    <x:tableColumn id="15" name="evidence_source_id"/>
    <x:tableColumn id="16" name="geometry_url"/>
    <x:tableColumn id="17" name="model_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Table" displayName="SourcesTable" ref="A4:G25" headerRowCount="1" totalsRowCount="0" totalsRowShown="0">
  <x:autoFilter ref="A4:G25"/>
  <x:tableColumns count="7">
    <x:tableColumn id="1" name="source_id"/>
    <x:tableColumn id="2" name="title"/>
    <x:tableColumn id="3" name="publisher"/>
    <x:tableColumn id="4" name="publication_date"/>
    <x:tableColumn id="5" name="document_type"/>
    <x:tableColumn id="6" name="used_for"/>
    <x:tableColumn id="7" name="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DataDictionaryTable" displayName="DataDictionaryTable" ref="A4:F16" headerRowCount="1" totalsRowCount="0" totalsRowShown="0">
  <x:autoFilter ref="A4:F16"/>
  <x:tableColumns count="6">
    <x:tableColumn id="1" name="sheet"/>
    <x:tableColumn id="2" name="field_or_class"/>
    <x:tableColumn id="3" name="definition"/>
    <x:tableColumn id="4" name="data_type_or_unit"/>
    <x:tableColumn id="5" name="evidence_class"/>
    <x:tableColumn id="6" name="implementation_ru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161f23dfef8446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9804749c2541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0824a5dabe44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8fe6d8a1be94a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e923e9d57541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b679faf42b44d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bfe1969e794ff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517ac6f02545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70b6c1e559421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98489cce6e34b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328aacee7aa49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4" hidden="0" customWidth="1"/>
    <x:col min="5" max="5" width="20" hidden="0" customWidth="1"/>
    <x:col min="6" max="6" width="18" hidden="0" customWidth="1"/>
    <x:col min="7" max="7" width="18" hidden="0" customWidth="1"/>
    <x:col min="8" max="8" width="4" hidden="0" customWidth="1"/>
    <x:col min="9" max="9" width="20" hidden="0" customWidth="1"/>
    <x:col min="10" max="10" width="18" hidden="0" customWidth="1"/>
    <x:col min="11" max="11" width="18" hidden="0" customWidth="1"/>
    <x:col min="12" max="12" width="4" hidden="0" customWidth="1"/>
    <x:col min="13" max="13" width="20" hidden="0" customWidth="1"/>
    <x:col min="14" max="14" width="18" hidden="0" customWidth="1"/>
  </x:cols>
  <x:sheetData>
    <x:row r="1">
      <x:c r="A1" s="128" t="str">
        <x:v>World Cup 2026 Mobility Showcase Dataset</x:v>
      </x:c>
    </x:row>
    <x:row r="3">
      <x:c r="A3" s="6" t="str">
        <x:v>A model-ready package combining official 2026 observations, official funding, explicit planning assumptions, optimizer outputs and conceptual 3D project anchors.</x:v>
      </x:c>
    </x:row>
    <x:row r="5">
      <x:c r="A5" s="10" t="str">
        <x:v>Official FTA total</x:v>
      </x:c>
      <x:c r="B5" s="10"/>
      <x:c r="C5" s="10"/>
      <x:c r="E5" s="40" t="str">
        <x:v>U.S. host regions</x:v>
      </x:c>
      <x:c r="F5" s="40"/>
      <x:c r="G5" s="40"/>
      <x:c r="I5" s="50" t="str">
        <x:v>NJ final pedestrians</x:v>
      </x:c>
      <x:c r="J5" s="50"/>
      <x:c r="K5" s="50"/>
      <x:c r="M5" s="54" t="str">
        <x:v>NJ FTA budget</x:v>
      </x:c>
      <x:c r="N5" s="54"/>
    </x:row>
    <x:row r="6">
      <x:c r="A6" s="31" t="n">
        <x:f>'Funding'!C16</x:f>
        <x:v>100250212</x:v>
      </x:c>
      <x:c r="B6" s="32"/>
      <x:c r="C6" s="33"/>
      <x:c r="E6" s="41" t="n">
        <x:f>COUNTA('Funding'!B5:B15)</x:f>
        <x:v>11</x:v>
      </x:c>
      <x:c r="F6" s="42"/>
      <x:c r="G6" s="43"/>
      <x:c r="I6" s="41" t="n">
        <x:f>'NJ Match Data'!N13</x:f>
        <x:v>65000</x:v>
      </x:c>
      <x:c r="J6" s="42"/>
      <x:c r="K6" s="43"/>
      <x:c r="M6" s="31" t="n">
        <x:f>'Funding'!C12</x:f>
        <x:v>10438681</x:v>
      </x:c>
      <x:c r="N6" s="33"/>
    </x:row>
    <x:row r="7">
      <x:c r="A7" s="34"/>
      <x:c r="B7" s="35"/>
      <x:c r="C7" s="36"/>
      <x:c r="E7" s="44"/>
      <x:c r="F7" s="45"/>
      <x:c r="G7" s="46"/>
      <x:c r="I7" s="44"/>
      <x:c r="J7" s="45"/>
      <x:c r="K7" s="46"/>
      <x:c r="M7" s="34"/>
      <x:c r="N7" s="36"/>
    </x:row>
    <x:row r="9">
      <x:c r="A9" s="38" t="str">
        <x:v>New York/New Jersey demonstration story</x:v>
      </x:c>
      <x:c r="B9" s="38"/>
      <x:c r="C9" s="38"/>
      <x:c r="D9" s="38"/>
      <x:c r="E9" s="38"/>
      <x:c r="F9" s="38"/>
      <x:c r="G9" s="38"/>
    </x:row>
    <x:row r="10">
      <x:c r="A10" s="60" t="str">
        <x:v>Metric</x:v>
      </x:c>
      <x:c r="B10" s="60" t="str">
        <x:v>Value</x:v>
      </x:c>
      <x:c r="C10" s="60" t="str">
        <x:v>Ratio / throughput</x:v>
      </x:c>
      <x:c r="D10" s="60" t="str">
        <x:v>Why it matters</x:v>
      </x:c>
      <x:c r="I10" t="str">
        <x:v>Host region</x:v>
      </x:c>
      <x:c r="J10" t="str">
        <x:v>FTA allocation</x:v>
      </x:c>
    </x:row>
    <x:row r="11">
      <x:c r="A11" s="61" t="str">
        <x:v>Final pedestrian count</x:v>
      </x:c>
      <x:c r="B11" s="62" t="n">
        <x:f>'NJ Match Data'!N13</x:f>
        <x:v>65000</x:v>
      </x:c>
      <x:c r="C11" s="63" t="n">
        <x:f>'NJ Match Data'!T13</x:f>
        <x:v>2.452830188679245</x:v>
      </x:c>
      <x:c r="D11" s="61" t="str">
        <x:v>65,000 vs 26,500 planned</x:v>
      </x:c>
      <x:c r="I11" t="str">
        <x:f>IF('Funding'!B5="New York/New Jersey","NY/NJ",IF('Funding'!B5="San Francisco Bay Area","Bay Area",'Funding'!B5))</x:f>
        <x:v>Atlanta</x:v>
      </x:c>
      <x:c r="J11" s="58" t="n">
        <x:f>'Funding'!C5</x:f>
        <x:v>9391018</x:v>
      </x:c>
    </x:row>
    <x:row r="12">
      <x:c r="A12" s="61" t="str">
        <x:v>Final Uber count</x:v>
      </x:c>
      <x:c r="B12" s="62" t="n">
        <x:f>'NJ Match Data'!E13</x:f>
        <x:v>16200</x:v>
      </x:c>
      <x:c r="C12" s="63" t="n">
        <x:f>'NJ Match Data'!S13</x:f>
        <x:v>2.7</x:v>
      </x:c>
      <x:c r="D12" s="61" t="str">
        <x:v>16,200 vs 6,000 planned</x:v>
      </x:c>
      <x:c r="I12" t="str">
        <x:f>IF('Funding'!B6="New York/New Jersey","NY/NJ",IF('Funding'!B6="San Francisco Bay Area","Bay Area",'Funding'!B6))</x:f>
        <x:v>Boston</x:v>
      </x:c>
      <x:c r="J12" s="58" t="n">
        <x:f>'Funding'!C6</x:f>
        <x:v>8671598</x:v>
      </x:c>
    </x:row>
    <x:row r="13">
      <x:c r="A13" s="61" t="str">
        <x:v>Final NJT egress</x:v>
      </x:c>
      <x:c r="B13" s="62" t="n">
        <x:f>'NJ Match Data'!J13</x:f>
        <x:v>21024</x:v>
      </x:c>
      <x:c r="C13" s="62" t="n">
        <x:f>'NJ Match Data'!U13</x:f>
        <x:v>21024</x:v>
      </x:c>
      <x:c r="D13" s="61" t="str">
        <x:v>21,024 passengers cleared in 60 minutes</x:v>
      </x:c>
      <x:c r="I13" t="str">
        <x:f>IF('Funding'!B7="New York/New Jersey","NY/NJ",IF('Funding'!B7="San Francisco Bay Area","Bay Area",'Funding'!B7))</x:f>
        <x:v>Dallas</x:v>
      </x:c>
      <x:c r="J13" s="58" t="n">
        <x:f>'Funding'!C7</x:f>
        <x:v>10033037</x:v>
      </x:c>
    </x:row>
    <x:row r="14">
      <x:c r="A14" s="61" t="str">
        <x:v>Modeled portfolio spend</x:v>
      </x:c>
      <x:c r="B14" s="64" t="n">
        <x:f>'Model Outputs'!C12</x:f>
        <x:v>10330000</x:v>
      </x:c>
      <x:c r="C14" s="64" t="n">
        <x:f>'Model Outputs'!D12</x:f>
        <x:v>108681</x:v>
      </x:c>
      <x:c r="D14" s="61" t="str">
        <x:v>Optimizer output; not observed spending</x:v>
      </x:c>
      <x:c r="I14" t="str">
        <x:f>IF('Funding'!B8="New York/New Jersey","NY/NJ",IF('Funding'!B8="San Francisco Bay Area","Bay Area",'Funding'!B8))</x:f>
        <x:v>Houston</x:v>
      </x:c>
      <x:c r="J14" s="58" t="n">
        <x:f>'Funding'!C8</x:f>
        <x:v>9092387</x:v>
      </x:c>
    </x:row>
    <x:row r="15">
      <x:c r="I15" t="str">
        <x:f>IF('Funding'!B9="New York/New Jersey","NY/NJ",IF('Funding'!B9="San Francisco Bay Area","Bay Area",'Funding'!B9))</x:f>
        <x:v>Kansas City</x:v>
      </x:c>
      <x:c r="J15" s="58" t="n">
        <x:f>'Funding'!C9</x:f>
        <x:v>8632123</x:v>
      </x:c>
    </x:row>
    <x:row r="16">
      <x:c r="I16" t="str">
        <x:f>IF('Funding'!B10="New York/New Jersey","NY/NJ",IF('Funding'!B10="San Francisco Bay Area","Bay Area",'Funding'!B10))</x:f>
        <x:v>Los Angeles</x:v>
      </x:c>
      <x:c r="J16" s="58" t="n">
        <x:f>'Funding'!C10</x:f>
        <x:v>9603284</x:v>
      </x:c>
    </x:row>
    <x:row r="17">
      <x:c r="A17" s="56" t="str">
        <x:v>Evidence legend</x:v>
      </x:c>
      <x:c r="B17" s="56"/>
      <x:c r="C17" s="56"/>
      <x:c r="D17" s="56"/>
      <x:c r="E17" s="56"/>
      <x:c r="F17" s="56"/>
      <x:c r="G17" s="56"/>
      <x:c r="I17" t="str">
        <x:f>IF('Funding'!B11="New York/New Jersey","NY/NJ",IF('Funding'!B11="San Francisco Bay Area","Bay Area",'Funding'!B11))</x:f>
        <x:v>Miami</x:v>
      </x:c>
      <x:c r="J17" s="58" t="n">
        <x:f>'Funding'!C11</x:f>
        <x:v>8697430</x:v>
      </x:c>
    </x:row>
    <x:row r="18">
      <x:c r="A18" s="65" t="str">
        <x:v>observed_final</x:v>
      </x:c>
      <x:c r="B18" s="65" t="str">
        <x:v>Reported final operational fact</x:v>
      </x:c>
      <x:c r="I18" t="str">
        <x:f>IF('Funding'!B12="New York/New Jersey","NY/NJ",IF('Funding'!B12="San Francisco Bay Area","Bay Area",'Funding'!B12))</x:f>
        <x:v>NY/NJ</x:v>
      </x:c>
      <x:c r="J18" s="58" t="n">
        <x:f>'Funding'!C12</x:f>
        <x:v>10438681</x:v>
      </x:c>
    </x:row>
    <x:row r="19">
      <x:c r="A19" s="66" t="str">
        <x:v>observed_preliminary</x:v>
      </x:c>
      <x:c r="B19" s="66" t="str">
        <x:v>Reported result still subject to validation</x:v>
      </x:c>
      <x:c r="I19" t="str">
        <x:f>IF('Funding'!B13="New York/New Jersey","NY/NJ",IF('Funding'!B13="San Francisco Bay Area","Bay Area",'Funding'!B13))</x:f>
        <x:v>Philadelphia</x:v>
      </x:c>
      <x:c r="J19" s="58" t="n">
        <x:f>'Funding'!C13</x:f>
        <x:v>8474327</x:v>
      </x:c>
    </x:row>
    <x:row r="20">
      <x:c r="A20" s="4" t="str">
        <x:v>official_plan</x:v>
      </x:c>
      <x:c r="B20" s="4" t="str">
        <x:v>Planned value—not an actual outcome</x:v>
      </x:c>
      <x:c r="I20" t="str">
        <x:f>IF('Funding'!B14="New York/New Jersey","NY/NJ",IF('Funding'!B14="San Francisco Bay Area","Bay Area",'Funding'!B14))</x:f>
        <x:v>Bay Area</x:v>
      </x:c>
      <x:c r="J20" s="58" t="n">
        <x:f>'Funding'!C14</x:f>
        <x:v>8807888</x:v>
      </x:c>
    </x:row>
    <x:row r="21">
      <x:c r="A21" s="67" t="str">
        <x:v>engineering_assumption</x:v>
      </x:c>
      <x:c r="B21" s="67" t="str">
        <x:v>Editable cost, impact or spatial assumption</x:v>
      </x:c>
      <x:c r="I21" t="str">
        <x:f>IF('Funding'!B15="New York/New Jersey","NY/NJ",IF('Funding'!B15="San Francisco Bay Area","Bay Area",'Funding'!B15))</x:f>
        <x:v>Seattle</x:v>
      </x:c>
      <x:c r="J21" s="58" t="n">
        <x:f>'Funding'!C15</x:f>
        <x:v>8408439</x:v>
      </x:c>
    </x:row>
    <x:row r="22">
      <x:c r="A22" s="68" t="str">
        <x:v>model_output</x:v>
      </x:c>
      <x:c r="B22" s="68" t="str">
        <x:v>Calculated by the demonstration optimizer</x:v>
      </x:c>
    </x:row>
    <x:row r="25">
      <x:c r="A25" t="str">
        <x:v>Match</x:v>
      </x:c>
      <x:c r="B25" t="str">
        <x:v>Planned pedestrians</x:v>
      </x:c>
      <x:c r="C25" t="str">
        <x:v>Observed pedestrians</x:v>
      </x:c>
    </x:row>
    <x:row r="26">
      <x:c r="A26" t="n">
        <x:f>'NJ Match Data'!B6</x:f>
        <x:v>7</x:v>
      </x:c>
      <x:c r="B26" s="57" t="n">
        <x:f>'NJ Match Data'!N5</x:f>
        <x:v>26500</x:v>
      </x:c>
      <x:c r="C26" s="57" t="n">
        <x:f>'NJ Match Data'!N6</x:f>
        <x:v>53000</x:v>
      </x:c>
    </x:row>
    <x:row r="27">
      <x:c r="A27" t="n">
        <x:f>'NJ Match Data'!B7</x:f>
        <x:v>17</x:v>
      </x:c>
      <x:c r="B27" s="57" t="n">
        <x:f>'NJ Match Data'!N5</x:f>
        <x:v>26500</x:v>
      </x:c>
      <x:c r="C27" s="57" t="n">
        <x:f>'NJ Match Data'!N7</x:f>
        <x:v>42000</x:v>
      </x:c>
    </x:row>
    <x:row r="28">
      <x:c r="A28" t="n">
        <x:f>'NJ Match Data'!B8</x:f>
        <x:v>41</x:v>
      </x:c>
      <x:c r="B28" s="57" t="n">
        <x:f>'NJ Match Data'!N5</x:f>
        <x:v>26500</x:v>
      </x:c>
      <x:c r="C28" s="57" t="n">
        <x:f>'NJ Match Data'!N8</x:f>
        <x:v>42000</x:v>
      </x:c>
    </x:row>
    <x:row r="29">
      <x:c r="A29" t="n">
        <x:f>'NJ Match Data'!B9</x:f>
        <x:v>56</x:v>
      </x:c>
      <x:c r="B29" s="57" t="n">
        <x:f>'NJ Match Data'!N5</x:f>
        <x:v>26500</x:v>
      </x:c>
      <x:c r="C29" s="57" t="n">
        <x:f>'NJ Match Data'!N9</x:f>
        <x:v>56000</x:v>
      </x:c>
    </x:row>
    <x:row r="30">
      <x:c r="A30" t="n">
        <x:f>'NJ Match Data'!B10</x:f>
        <x:v>67</x:v>
      </x:c>
      <x:c r="B30" s="57" t="n">
        <x:f>'NJ Match Data'!N5</x:f>
        <x:v>26500</x:v>
      </x:c>
      <x:c r="C30" s="57" t="n">
        <x:f>'NJ Match Data'!N10</x:f>
        <x:v>50000</x:v>
      </x:c>
    </x:row>
    <x:row r="31">
      <x:c r="A31" t="n">
        <x:f>'NJ Match Data'!B11</x:f>
        <x:v>77</x:v>
      </x:c>
      <x:c r="B31" s="57" t="n">
        <x:f>'NJ Match Data'!N5</x:f>
        <x:v>26500</x:v>
      </x:c>
      <x:c r="C31" s="57" t="n">
        <x:f>'NJ Match Data'!N11</x:f>
        <x:v>45000</x:v>
      </x:c>
    </x:row>
    <x:row r="32">
      <x:c r="A32" t="n">
        <x:f>'NJ Match Data'!B12</x:f>
        <x:v>91</x:v>
      </x:c>
      <x:c r="B32" s="57" t="n">
        <x:f>'NJ Match Data'!N5</x:f>
        <x:v>26500</x:v>
      </x:c>
      <x:c r="C32" s="57" t="n">
        <x:f>'NJ Match Data'!N12</x:f>
        <x:v>46000</x:v>
      </x:c>
    </x:row>
    <x:row r="33">
      <x:c r="A33" t="n">
        <x:f>'NJ Match Data'!B13</x:f>
        <x:v>104</x:v>
      </x:c>
      <x:c r="B33" s="57" t="n">
        <x:f>'NJ Match Data'!N5</x:f>
        <x:v>26500</x:v>
      </x:c>
      <x:c r="C33" s="57" t="n">
        <x:f>'NJ Match Data'!N13</x:f>
        <x:v>65000</x:v>
      </x:c>
    </x:row>
    <x:row r="40">
      <x:c r="I40" s="119" t="str">
        <x:v>Key implementation rule: the 3D renderer must filter proposals by project_id from the optimizer response. Coordinates in this workbook are conceptual anchors and must be labeled accordingly.</x:v>
      </x:c>
      <x:c r="J40" s="120"/>
      <x:c r="K40" s="120"/>
      <x:c r="L40" s="120"/>
      <x:c r="M40" s="120"/>
      <x:c r="N40" s="121"/>
    </x:row>
    <x:row r="41">
      <x:c r="I41" s="122"/>
      <x:c r="J41" s="123"/>
      <x:c r="K41" s="123"/>
      <x:c r="L41" s="123"/>
      <x:c r="M41" s="123"/>
      <x:c r="N41" s="124"/>
    </x:row>
    <x:row r="42">
      <x:c r="I42" s="122"/>
      <x:c r="J42" s="123"/>
      <x:c r="K42" s="123"/>
      <x:c r="L42" s="123"/>
      <x:c r="M42" s="123"/>
      <x:c r="N42" s="124"/>
    </x:row>
    <x:row r="43">
      <x:c r="I43" s="125"/>
      <x:c r="J43" s="126"/>
      <x:c r="K43" s="126"/>
      <x:c r="L43" s="126"/>
      <x:c r="M43" s="126"/>
      <x:c r="N43" s="127"/>
    </x:row>
  </x:sheetData>
  <x:mergeCells>
    <x:mergeCell ref="A1:N2"/>
    <x:mergeCell ref="A3:N3"/>
    <x:mergeCell ref="A5:C5"/>
    <x:mergeCell ref="A6:C7"/>
    <x:mergeCell ref="E5:G5"/>
    <x:mergeCell ref="E6:G7"/>
    <x:mergeCell ref="I5:K5"/>
    <x:mergeCell ref="I6:K7"/>
    <x:mergeCell ref="M5:N5"/>
    <x:mergeCell ref="M6:N7"/>
    <x:mergeCell ref="A9:G9"/>
    <x:mergeCell ref="A17:G17"/>
    <x:mergeCell ref="I40:N43"/>
  </x:mergeCells>
  <x:pageMargins left="0.7" right="0.7" top="0.75" bottom="0.75" header="0.3" footer="0.3"/>
  <x:drawing xmlns:r="http://schemas.openxmlformats.org/officeDocument/2006/relationships" r:id="R5161f23dfef8446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5" hidden="0" customWidth="1"/>
    <x:col min="5" max="5" width="22" hidden="0" customWidth="1"/>
    <x:col min="6" max="6" width="20" hidden="0" customWidth="1"/>
    <x:col min="7" max="7" width="16" hidden="0" customWidth="1"/>
    <x:col min="8" max="8" width="48" hidden="0" customWidth="1"/>
  </x:cols>
  <x:sheetData>
    <x:row r="1" ht="30" customHeight="1">
      <x:c r="A1" s="129" t="str">
        <x:v>Official World Cup Transit Funding</x:v>
      </x:c>
    </x:row>
    <x:row r="2" ht="38" customHeight="1">
      <x:c r="A2" s="73" t="str">
        <x:v>The FTA allocation is the conservative optimizer budget. Pass-through suballocations, security grants, authorizations and agency cost estimates are not added again.</x:v>
      </x:c>
    </x:row>
    <x:row r="4">
      <x:c r="A4" s="76" t="str">
        <x:v>city_id</x:v>
      </x:c>
      <x:c r="B4" s="76" t="str">
        <x:v>host_region</x:v>
      </x:c>
      <x:c r="C4" s="76" t="str">
        <x:v>allocation_usd</x:v>
      </x:c>
      <x:c r="D4" s="76" t="str">
        <x:v>share_of_total</x:v>
      </x:c>
      <x:c r="E4" s="76" t="str">
        <x:v>source_id</x:v>
      </x:c>
      <x:c r="F4" s="76" t="str">
        <x:v>evidence_class</x:v>
      </x:c>
      <x:c r="G4" s="76" t="str">
        <x:v>optimizer_budget</x:v>
      </x:c>
      <x:c r="H4" s="76" t="str">
        <x:v>treatment_note</x:v>
      </x:c>
    </x:row>
    <x:row r="5">
      <x:c r="A5" s="78" t="str">
        <x:v>atlanta</x:v>
      </x:c>
      <x:c r="B5" s="78" t="str">
        <x:v>Atlanta</x:v>
      </x:c>
      <x:c r="C5" s="81" t="n">
        <x:v>9391018</x:v>
      </x:c>
      <x:c r="D5" s="83" t="n">
        <x:f>C5/$C$16</x:f>
        <x:v>0.09367579192750236</x:v>
      </x:c>
      <x:c r="E5" s="78" t="str">
        <x:v>fta-world-cup-2026</x:v>
      </x:c>
      <x:c r="F5" s="78" t="str">
        <x:v>official_allocation</x:v>
      </x:c>
      <x:c r="G5" s="78" t="str">
        <x:v>Yes</x:v>
      </x:c>
      <x:c r="H5" s="78" t="str">
        <x:v>World Cup-specific federal transit allocation</x:v>
      </x:c>
    </x:row>
    <x:row r="6">
      <x:c r="A6" s="78" t="str">
        <x:v>boston</x:v>
      </x:c>
      <x:c r="B6" s="78" t="str">
        <x:v>Boston</x:v>
      </x:c>
      <x:c r="C6" s="81" t="n">
        <x:v>8671598</x:v>
      </x:c>
      <x:c r="D6" s="83" t="n">
        <x:f>C6/$C$16</x:f>
        <x:v>0.08649954775157982</x:v>
      </x:c>
      <x:c r="E6" s="78" t="str">
        <x:v>fta-world-cup-2026</x:v>
      </x:c>
      <x:c r="F6" s="78" t="str">
        <x:v>official_allocation</x:v>
      </x:c>
      <x:c r="G6" s="78" t="str">
        <x:v>Yes</x:v>
      </x:c>
      <x:c r="H6" s="78" t="str">
        <x:v>World Cup-specific federal transit allocation</x:v>
      </x:c>
    </x:row>
    <x:row r="7">
      <x:c r="A7" s="78" t="str">
        <x:v>dallas</x:v>
      </x:c>
      <x:c r="B7" s="78" t="str">
        <x:v>Dallas</x:v>
      </x:c>
      <x:c r="C7" s="81" t="n">
        <x:v>10033037</x:v>
      </x:c>
      <x:c r="D7" s="83" t="n">
        <x:f>C7/$C$16</x:f>
        <x:v>0.10007995793565005</x:v>
      </x:c>
      <x:c r="E7" s="78" t="str">
        <x:v>fta-world-cup-2026</x:v>
      </x:c>
      <x:c r="F7" s="78" t="str">
        <x:v>official_allocation</x:v>
      </x:c>
      <x:c r="G7" s="78" t="str">
        <x:v>Yes</x:v>
      </x:c>
      <x:c r="H7" s="78" t="str">
        <x:v>World Cup-specific federal transit allocation</x:v>
      </x:c>
    </x:row>
    <x:row r="8">
      <x:c r="A8" s="78" t="str">
        <x:v>houston</x:v>
      </x:c>
      <x:c r="B8" s="78" t="str">
        <x:v>Houston</x:v>
      </x:c>
      <x:c r="C8" s="81" t="n">
        <x:v>9092387</x:v>
      </x:c>
      <x:c r="D8" s="83" t="n">
        <x:f>C8/$C$16</x:f>
        <x:v>0.09069693538403689</x:v>
      </x:c>
      <x:c r="E8" s="78" t="str">
        <x:v>fta-world-cup-2026</x:v>
      </x:c>
      <x:c r="F8" s="78" t="str">
        <x:v>official_allocation</x:v>
      </x:c>
      <x:c r="G8" s="78" t="str">
        <x:v>Yes</x:v>
      </x:c>
      <x:c r="H8" s="78" t="str">
        <x:v>World Cup-specific federal transit allocation</x:v>
      </x:c>
    </x:row>
    <x:row r="9">
      <x:c r="A9" s="78" t="str">
        <x:v>kansas-city</x:v>
      </x:c>
      <x:c r="B9" s="78" t="str">
        <x:v>Kansas City</x:v>
      </x:c>
      <x:c r="C9" s="81" t="n">
        <x:v>8632123</x:v>
      </x:c>
      <x:c r="D9" s="83" t="n">
        <x:f>C9/$C$16</x:f>
        <x:v>0.08610578299824444</x:v>
      </x:c>
      <x:c r="E9" s="78" t="str">
        <x:v>fta-world-cup-2026</x:v>
      </x:c>
      <x:c r="F9" s="78" t="str">
        <x:v>official_allocation</x:v>
      </x:c>
      <x:c r="G9" s="78" t="str">
        <x:v>Yes</x:v>
      </x:c>
      <x:c r="H9" s="78" t="str">
        <x:v>Base case excludes the separate $1m Missouri transit line</x:v>
      </x:c>
    </x:row>
    <x:row r="10">
      <x:c r="A10" s="78" t="str">
        <x:v>los-angeles</x:v>
      </x:c>
      <x:c r="B10" s="78" t="str">
        <x:v>Los Angeles</x:v>
      </x:c>
      <x:c r="C10" s="81" t="n">
        <x:v>9603284</x:v>
      </x:c>
      <x:c r="D10" s="83" t="n">
        <x:f>C10/$C$16</x:f>
        <x:v>0.09579315403342988</x:v>
      </x:c>
      <x:c r="E10" s="78" t="str">
        <x:v>fta-world-cup-2026</x:v>
      </x:c>
      <x:c r="F10" s="78" t="str">
        <x:v>official_allocation</x:v>
      </x:c>
      <x:c r="G10" s="78" t="str">
        <x:v>Yes</x:v>
      </x:c>
      <x:c r="H10" s="78" t="str">
        <x:v>SCAG pass-through is the same allocation; do not double count</x:v>
      </x:c>
    </x:row>
    <x:row r="11">
      <x:c r="A11" s="78" t="str">
        <x:v>miami</x:v>
      </x:c>
      <x:c r="B11" s="78" t="str">
        <x:v>Miami</x:v>
      </x:c>
      <x:c r="C11" s="81" t="n">
        <x:v>8697430</x:v>
      </x:c>
      <x:c r="D11" s="83" t="n">
        <x:f>C11/$C$16</x:f>
        <x:v>0.08675722301714434</x:v>
      </x:c>
      <x:c r="E11" s="78" t="str">
        <x:v>fta-world-cup-2026</x:v>
      </x:c>
      <x:c r="F11" s="78" t="str">
        <x:v>official_allocation</x:v>
      </x:c>
      <x:c r="G11" s="78" t="str">
        <x:v>Yes</x:v>
      </x:c>
      <x:c r="H11" s="78" t="str">
        <x:v>Mixed county support is excluded from the base</x:v>
      </x:c>
    </x:row>
    <x:row r="12">
      <x:c r="A12" s="78" t="str">
        <x:v>nynj</x:v>
      </x:c>
      <x:c r="B12" s="78" t="str">
        <x:v>New York/New Jersey</x:v>
      </x:c>
      <x:c r="C12" s="81" t="n">
        <x:v>10438681</x:v>
      </x:c>
      <x:c r="D12" s="83" t="n">
        <x:f>C12/$C$16</x:f>
        <x:v>0.10412627356837909</x:v>
      </x:c>
      <x:c r="E12" s="78" t="str">
        <x:v>fta-world-cup-2026</x:v>
      </x:c>
      <x:c r="F12" s="78" t="str">
        <x:v>official_allocation</x:v>
      </x:c>
      <x:c r="G12" s="78" t="str">
        <x:v>Yes</x:v>
      </x:c>
      <x:c r="H12" s="78" t="str">
        <x:v>NJ Transit reported costs are not additional appropriations</x:v>
      </x:c>
    </x:row>
    <x:row r="13">
      <x:c r="A13" s="78" t="str">
        <x:v>philadelphia</x:v>
      </x:c>
      <x:c r="B13" s="78" t="str">
        <x:v>Philadelphia</x:v>
      </x:c>
      <x:c r="C13" s="81" t="n">
        <x:v>8474327</x:v>
      </x:c>
      <x:c r="D13" s="83" t="n">
        <x:f>C13/$C$16</x:f>
        <x:v>0.08453176138919287</x:v>
      </x:c>
      <x:c r="E13" s="78" t="str">
        <x:v>fta-world-cup-2026</x:v>
      </x:c>
      <x:c r="F13" s="78" t="str">
        <x:v>official_allocation</x:v>
      </x:c>
      <x:c r="G13" s="78" t="str">
        <x:v>Yes</x:v>
      </x:c>
      <x:c r="H13" s="78" t="str">
        <x:v>Mixed city/state event support is excluded from the base</x:v>
      </x:c>
    </x:row>
    <x:row r="14">
      <x:c r="A14" s="78" t="str">
        <x:v>sf-bay</x:v>
      </x:c>
      <x:c r="B14" s="78" t="str">
        <x:v>San Francisco Bay Area</x:v>
      </x:c>
      <x:c r="C14" s="81" t="n">
        <x:v>8807888</x:v>
      </x:c>
      <x:c r="D14" s="83" t="n">
        <x:f>C14/$C$16</x:f>
        <x:v>0.08785904612351343</x:v>
      </x:c>
      <x:c r="E14" s="78" t="str">
        <x:v>fta-world-cup-2026</x:v>
      </x:c>
      <x:c r="F14" s="78" t="str">
        <x:v>official_allocation</x:v>
      </x:c>
      <x:c r="G14" s="78" t="str">
        <x:v>Yes</x:v>
      </x:c>
      <x:c r="H14" s="78" t="str">
        <x:v>MTC suballocations sum to this same pot</x:v>
      </x:c>
    </x:row>
    <x:row r="15">
      <x:c r="A15" s="78" t="str">
        <x:v>seattle</x:v>
      </x:c>
      <x:c r="B15" s="78" t="str">
        <x:v>Seattle</x:v>
      </x:c>
      <x:c r="C15" s="81" t="n">
        <x:v>8408439</x:v>
      </x:c>
      <x:c r="D15" s="83" t="n">
        <x:f>C15/$C$16</x:f>
        <x:v>0.08387452587132684</x:v>
      </x:c>
      <x:c r="E15" s="78" t="str">
        <x:v>fta-world-cup-2026</x:v>
      </x:c>
      <x:c r="F15" s="78" t="str">
        <x:v>official_allocation</x:v>
      </x:c>
      <x:c r="G15" s="78" t="str">
        <x:v>Yes</x:v>
      </x:c>
      <x:c r="H15" s="78" t="str">
        <x:v>Cost estimates are not treated as spendable appropriations</x:v>
      </x:c>
    </x:row>
    <x:row r="16">
      <x:c r="A16" s="80" t="str">
        <x:v>TOTAL / CHECK</x:v>
      </x:c>
      <x:c r="B16" s="80"/>
      <x:c r="C16" s="82" t="n">
        <x:f>SUM(C5:C15)</x:f>
        <x:v>100250212</x:v>
      </x:c>
      <x:c r="D16" s="84" t="n">
        <x:f>SUM(D5:D15)</x:f>
        <x:v>1</x:v>
      </x:c>
      <x:c r="E16" s="80"/>
      <x:c r="F16" s="80"/>
      <x:c r="G16" s="80"/>
      <x:c r="H16" s="80"/>
    </x:row>
  </x:sheetData>
  <x:mergeCells>
    <x:mergeCell ref="A1:H1"/>
    <x:mergeCell ref="A2:H2"/>
    <x:mergeCell ref="A16:B16"/>
  </x:mergeCells>
  <x:pageMargins left="0.7" right="0.7" top="0.75" bottom="0.75" header="0.3" footer="0.3"/>
  <x:tableParts count="1">
    <x:tablePart xmlns:r="http://schemas.openxmlformats.org/officeDocument/2006/relationships" r:id="Re19804749c2541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24" hidden="0" customWidth="1"/>
    <x:col min="4" max="4" width="14" hidden="0" customWidth="1"/>
    <x:col min="5" max="5" width="12" hidden="0" customWidth="1"/>
    <x:col min="6" max="6" width="15" hidden="0" customWidth="1"/>
    <x:col min="7" max="7" width="14" hidden="0" customWidth="1"/>
    <x:col min="8" max="8" width="17" hidden="0" customWidth="1"/>
    <x:col min="9" max="9" width="12" hidden="0" customWidth="1"/>
    <x:col min="10" max="10" width="12" hidden="0" customWidth="1"/>
    <x:col min="11" max="11" width="15" hidden="0" customWidth="1"/>
    <x:col min="12" max="12" width="19" hidden="0" customWidth="1"/>
    <x:col min="13" max="13" width="21" hidden="0" customWidth="1"/>
    <x:col min="14" max="14" width="23" hidden="0" customWidth="1"/>
    <x:col min="15" max="15" width="13" hidden="0" customWidth="1"/>
    <x:col min="16" max="16" width="20" hidden="0" customWidth="1"/>
    <x:col min="17" max="17" width="18" hidden="0" customWidth="1"/>
    <x:col min="18" max="18" width="16" hidden="0" customWidth="1"/>
    <x:col min="19" max="19" width="14" hidden="0" customWidth="1"/>
    <x:col min="20" max="20" width="18" hidden="0" customWidth="1"/>
    <x:col min="21" max="21" width="22" hidden="0" customWidth="1"/>
    <x:col min="22" max="22" width="18" hidden="0" customWidth="1"/>
    <x:col min="23" max="23" width="18" hidden="0" customWidth="1"/>
    <x:col min="24" max="24" width="55" hidden="0" customWidth="1"/>
  </x:cols>
  <x:sheetData>
    <x:row r="1" ht="30" customHeight="1">
      <x:c r="A1" s="129" t="str">
        <x:v>NJNY Stadium Match-Level Mobility Data</x:v>
      </x:c>
    </x:row>
    <x:row r="2" ht="38" customHeight="1">
      <x:c r="A2" s="73" t="str">
        <x:v>Official NJ Transit after-action table. Ratios and throughput columns are workbook-derived. Blanks are preserved as unknown/not reported, never converted to zero.</x:v>
      </x:c>
    </x:row>
    <x:row r="4">
      <x:c r="A4" s="76" t="str">
        <x:v>record_type</x:v>
      </x:c>
      <x:c r="B4" s="76" t="str">
        <x:v>match_no</x:v>
      </x:c>
      <x:c r="C4" s="76" t="str">
        <x:v>fixture</x:v>
      </x:c>
      <x:c r="D4" s="76" t="str">
        <x:v>ticket_holders</x:v>
      </x:c>
      <x:c r="E4" s="76" t="str">
        <x:v>uber_count</x:v>
      </x:c>
      <x:c r="F4" s="76" t="str">
        <x:v>uber_egress_min</x:v>
      </x:c>
      <x:c r="G4" s="76" t="str">
        <x:v>host_shuttles</x:v>
      </x:c>
      <x:c r="H4" s="76" t="str">
        <x:v>shuttle_egress_min</x:v>
      </x:c>
      <x:c r="I4" s="76" t="str">
        <x:v>njt_ingress</x:v>
      </x:c>
      <x:c r="J4" s="76" t="str">
        <x:v>njt_egress</x:v>
      </x:c>
      <x:c r="K4" s="76" t="str">
        <x:v>njt_egress_min</x:v>
      </x:c>
      <x:c r="L4" s="76" t="str">
        <x:v>american_dream_bus</x:v>
      </x:c>
      <x:c r="M4" s="76" t="str">
        <x:v>american_dream_parking</x:v>
      </x:c>
      <x:c r="N4" s="76" t="str">
        <x:v>american_dream_pedestrians</x:v>
      </x:c>
      <x:c r="O4" s="76" t="str">
        <x:v>unallocated</x:v>
      </x:c>
      <x:c r="P4" s="76" t="str">
        <x:v>mathematical_dropoff</x:v>
      </x:c>
      <x:c r="Q4" s="76" t="str">
        <x:v>likely_hospitality</x:v>
      </x:c>
      <x:c r="R4" s="76" t="str">
        <x:v>likely_dropoff</x:v>
      </x:c>
      <x:c r="S4" s="76" t="str">
        <x:v>uber_vs_plan</x:v>
      </x:c>
      <x:c r="T4" s="76" t="str">
        <x:v>pedestrians_vs_plan</x:v>
      </x:c>
      <x:c r="U4" s="76" t="str">
        <x:v>rail_egress_people_per_hour</x:v>
      </x:c>
      <x:c r="V4" s="76" t="str">
        <x:v>evidence_class</x:v>
      </x:c>
      <x:c r="W4" s="76" t="str">
        <x:v>source_id</x:v>
      </x:c>
      <x:c r="X4" s="76" t="str">
        <x:v>source_url</x:v>
      </x:c>
    </x:row>
    <x:row r="5">
      <x:c r="A5" s="87" t="str">
        <x:v>official_plan</x:v>
      </x:c>
      <x:c r="B5" s="87" t="str">
        <x:v>Plan</x:v>
      </x:c>
      <x:c r="C5" s="87" t="str">
        <x:v>Approved mobility plan</x:v>
      </x:c>
      <x:c r="D5" s="88" t="n">
        <x:v>80870</x:v>
      </x:c>
      <x:c r="E5" s="88" t="n">
        <x:v>6000</x:v>
      </x:c>
      <x:c r="F5" s="88" t="n">
        <x:v>180</x:v>
      </x:c>
      <x:c r="G5" s="88" t="n">
        <x:v>10000</x:v>
      </x:c>
      <x:c r="H5" s="88" t="n">
        <x:v>180</x:v>
      </x:c>
      <x:c r="I5" s="88" t="n">
        <x:v>40000</x:v>
      </x:c>
      <x:c r="J5" s="88" t="n">
        <x:v>40000</x:v>
      </x:c>
      <x:c r="K5" s="88" t="n">
        <x:v>120</x:v>
      </x:c>
      <x:c r="L5" s="88" t="n">
        <x:v>1500</x:v>
      </x:c>
      <x:c r="M5" s="88" t="n">
        <x:v>11750</x:v>
      </x:c>
      <x:c r="N5" s="88" t="n">
        <x:v>26500</x:v>
      </x:c>
      <x:c r="O5" s="88" t="n">
        <x:v>-10380</x:v>
      </x:c>
      <x:c r="P5" s="88"/>
      <x:c r="Q5" s="88"/>
      <x:c r="R5" s="88"/>
      <x:c r="S5" s="89" t="n">
        <x:f>E5/$E$5</x:f>
        <x:v>1</x:v>
      </x:c>
      <x:c r="T5" s="89" t="n">
        <x:f>N5/$N$5</x:f>
        <x:v>1</x:v>
      </x:c>
      <x:c r="U5" s="88" t="n">
        <x:f>J5/(K5/60)</x:f>
        <x:v>20000</x:v>
      </x:c>
      <x:c r="V5" s="87" t="str">
        <x:v>official_plan</x:v>
      </x:c>
      <x:c r="W5" s="87" t="str">
        <x:v>njt-aar-2026</x:v>
      </x:c>
      <x:c r="X5" s="87" t="str">
        <x:v>https://www.njtransit.com/press-releases/new-jersey-interagency-transportation-after-action-report-aar-njny-stadium-fifa</x:v>
      </x:c>
    </x:row>
    <x:row r="6">
      <x:c r="A6" s="78" t="str">
        <x:v>match</x:v>
      </x:c>
      <x:c r="B6" s="78" t="n">
        <x:v>7</x:v>
      </x:c>
      <x:c r="C6" s="78" t="str">
        <x:v>Brazil vs Morocco</x:v>
      </x:c>
      <x:c r="D6" s="85" t="n">
        <x:v>80000</x:v>
      </x:c>
      <x:c r="E6" s="85" t="n">
        <x:v>6006</x:v>
      </x:c>
      <x:c r="F6" s="85" t="n">
        <x:v>240</x:v>
      </x:c>
      <x:c r="G6" s="85" t="n">
        <x:v>16013</x:v>
      </x:c>
      <x:c r="H6" s="85" t="n">
        <x:v>150</x:v>
      </x:c>
      <x:c r="I6" s="85" t="n">
        <x:v>21271</x:v>
      </x:c>
      <x:c r="J6" s="85" t="n">
        <x:v>21695</x:v>
      </x:c>
      <x:c r="K6" s="85" t="n">
        <x:v>60</x:v>
      </x:c>
      <x:c r="L6" s="85" t="n">
        <x:v>1200</x:v>
      </x:c>
      <x:c r="M6" s="85" t="n">
        <x:v>10035</x:v>
      </x:c>
      <x:c r="N6" s="85" t="n">
        <x:v>53000</x:v>
      </x:c>
      <x:c r="O6" s="85" t="n">
        <x:v>3475</x:v>
      </x:c>
      <x:c r="P6" s="85" t="n">
        <x:v>15265</x:v>
      </x:c>
      <x:c r="Q6" s="85" t="n">
        <x:v>10210</x:v>
      </x:c>
      <x:c r="R6" s="85"/>
      <x:c r="S6" s="86" t="n">
        <x:f>E6/$E$5</x:f>
        <x:v>1.001</x:v>
      </x:c>
      <x:c r="T6" s="86" t="n">
        <x:f>N6/$N$5</x:f>
        <x:v>2</x:v>
      </x:c>
      <x:c r="U6" s="85" t="n">
        <x:f>J6/(K6/60)</x:f>
        <x:v>21695</x:v>
      </x:c>
      <x:c r="V6" s="78" t="str">
        <x:v>observed_final</x:v>
      </x:c>
      <x:c r="W6" s="78" t="str">
        <x:v>njt-aar-2026</x:v>
      </x:c>
      <x:c r="X6" s="78" t="str">
        <x:v>https://www.njtransit.com/press-releases/new-jersey-interagency-transportation-after-action-report-aar-njny-stadium-fifa</x:v>
      </x:c>
    </x:row>
    <x:row r="7">
      <x:c r="A7" s="78" t="str">
        <x:v>match</x:v>
      </x:c>
      <x:c r="B7" s="78" t="n">
        <x:v>17</x:v>
      </x:c>
      <x:c r="C7" s="78" t="str">
        <x:v>France vs Senegal</x:v>
      </x:c>
      <x:c r="D7" s="85" t="n">
        <x:v>78401</x:v>
      </x:c>
      <x:c r="E7" s="85" t="n">
        <x:v>8300</x:v>
      </x:c>
      <x:c r="F7" s="85" t="n">
        <x:v>240</x:v>
      </x:c>
      <x:c r="G7" s="85" t="n">
        <x:v>12000</x:v>
      </x:c>
      <x:c r="H7" s="85" t="n">
        <x:v>150</x:v>
      </x:c>
      <x:c r="I7" s="85" t="n">
        <x:v>25797</x:v>
      </x:c>
      <x:c r="J7" s="85" t="n">
        <x:v>26221</x:v>
      </x:c>
      <x:c r="K7" s="85" t="n">
        <x:v>70</x:v>
      </x:c>
      <x:c r="L7" s="85" t="n">
        <x:v>450</x:v>
      </x:c>
      <x:c r="M7" s="85" t="n">
        <x:v>10085</x:v>
      </x:c>
      <x:c r="N7" s="85" t="n">
        <x:v>42000</x:v>
      </x:c>
      <x:c r="O7" s="85" t="n">
        <x:v>-231</x:v>
      </x:c>
      <x:c r="P7" s="85" t="n">
        <x:v>10465</x:v>
      </x:c>
      <x:c r="Q7" s="85" t="n">
        <x:v>11304</x:v>
      </x:c>
      <x:c r="R7" s="85"/>
      <x:c r="S7" s="86" t="n">
        <x:f>E7/$E$5</x:f>
        <x:v>1.3833333333333333</x:v>
      </x:c>
      <x:c r="T7" s="86" t="n">
        <x:f>N7/$N$5</x:f>
        <x:v>1.5849056603773586</x:v>
      </x:c>
      <x:c r="U7" s="85" t="n">
        <x:f>J7/(K7/60)</x:f>
        <x:v>22475.142857142855</x:v>
      </x:c>
      <x:c r="V7" s="78" t="str">
        <x:v>observed_final</x:v>
      </x:c>
      <x:c r="W7" s="78" t="str">
        <x:v>njt-aar-2026</x:v>
      </x:c>
      <x:c r="X7" s="78" t="str">
        <x:v>https://www.njtransit.com/press-releases/new-jersey-interagency-transportation-after-action-report-aar-njny-stadium-fifa</x:v>
      </x:c>
    </x:row>
    <x:row r="8">
      <x:c r="A8" s="78" t="str">
        <x:v>match</x:v>
      </x:c>
      <x:c r="B8" s="78" t="n">
        <x:v>41</x:v>
      </x:c>
      <x:c r="C8" s="78" t="str">
        <x:v>Norway vs Senegal</x:v>
      </x:c>
      <x:c r="D8" s="85" t="n">
        <x:v>72777</x:v>
      </x:c>
      <x:c r="E8" s="85" t="n">
        <x:v>10800</x:v>
      </x:c>
      <x:c r="F8" s="85" t="n">
        <x:v>180</x:v>
      </x:c>
      <x:c r="G8" s="85" t="n">
        <x:v>12000</x:v>
      </x:c>
      <x:c r="H8" s="85" t="n">
        <x:v>120</x:v>
      </x:c>
      <x:c r="I8" s="85" t="n">
        <x:v>25568</x:v>
      </x:c>
      <x:c r="J8" s="85" t="n">
        <x:v>25946</x:v>
      </x:c>
      <x:c r="K8" s="85" t="n">
        <x:v>60</x:v>
      </x:c>
      <x:c r="L8" s="85"/>
      <x:c r="M8" s="85" t="n">
        <x:v>9125</x:v>
      </x:c>
      <x:c r="N8" s="85" t="n">
        <x:v>42000</x:v>
      </x:c>
      <x:c r="O8" s="85" t="n">
        <x:v>-6716</x:v>
      </x:c>
      <x:c r="P8" s="85" t="n">
        <x:v>11875</x:v>
      </x:c>
      <x:c r="Q8" s="85" t="n">
        <x:v>3409</x:v>
      </x:c>
      <x:c r="R8" s="85"/>
      <x:c r="S8" s="86" t="n">
        <x:f>E8/$E$5</x:f>
        <x:v>1.8</x:v>
      </x:c>
      <x:c r="T8" s="86" t="n">
        <x:f>N8/$N$5</x:f>
        <x:v>1.5849056603773586</x:v>
      </x:c>
      <x:c r="U8" s="85" t="n">
        <x:f>J8/(K8/60)</x:f>
        <x:v>25946</x:v>
      </x:c>
      <x:c r="V8" s="78" t="str">
        <x:v>observed_final</x:v>
      </x:c>
      <x:c r="W8" s="78" t="str">
        <x:v>njt-aar-2026</x:v>
      </x:c>
      <x:c r="X8" s="78" t="str">
        <x:v>https://www.njtransit.com/press-releases/new-jersey-interagency-transportation-after-action-report-aar-njny-stadium-fifa</x:v>
      </x:c>
    </x:row>
    <x:row r="9">
      <x:c r="A9" s="78" t="str">
        <x:v>match</x:v>
      </x:c>
      <x:c r="B9" s="78" t="n">
        <x:v>56</x:v>
      </x:c>
      <x:c r="C9" s="78" t="str">
        <x:v>Ecuador vs Germany</x:v>
      </x:c>
      <x:c r="D9" s="85" t="n">
        <x:v>80663</x:v>
      </x:c>
      <x:c r="E9" s="85" t="n">
        <x:v>12950</x:v>
      </x:c>
      <x:c r="F9" s="85" t="n">
        <x:v>180</x:v>
      </x:c>
      <x:c r="G9" s="85" t="n">
        <x:v>12000</x:v>
      </x:c>
      <x:c r="H9" s="85" t="n">
        <x:v>150</x:v>
      </x:c>
      <x:c r="I9" s="85" t="n">
        <x:v>20593</x:v>
      </x:c>
      <x:c r="J9" s="85" t="n">
        <x:v>20857</x:v>
      </x:c>
      <x:c r="K9" s="85" t="n">
        <x:v>60</x:v>
      </x:c>
      <x:c r="L9" s="85" t="n">
        <x:v>2000</x:v>
      </x:c>
      <x:c r="M9" s="85" t="n">
        <x:v>8615</x:v>
      </x:c>
      <x:c r="N9" s="85" t="n">
        <x:v>56000</x:v>
      </x:c>
      <x:c r="O9" s="85" t="n">
        <x:v>2505</x:v>
      </x:c>
      <x:c r="P9" s="85" t="n">
        <x:v>17385</x:v>
      </x:c>
      <x:c r="Q9" s="85" t="n">
        <x:v>7120</x:v>
      </x:c>
      <x:c r="R9" s="85" t="n">
        <x:v>9374</x:v>
      </x:c>
      <x:c r="S9" s="86" t="n">
        <x:f>E9/$E$5</x:f>
        <x:v>2.158333333333333</x:v>
      </x:c>
      <x:c r="T9" s="86" t="n">
        <x:f>N9/$N$5</x:f>
        <x:v>2.1132075471698113</x:v>
      </x:c>
      <x:c r="U9" s="85" t="n">
        <x:f>J9/(K9/60)</x:f>
        <x:v>20857</x:v>
      </x:c>
      <x:c r="V9" s="78" t="str">
        <x:v>observed_final</x:v>
      </x:c>
      <x:c r="W9" s="78" t="str">
        <x:v>njt-aar-2026</x:v>
      </x:c>
      <x:c r="X9" s="78" t="str">
        <x:v>https://www.njtransit.com/press-releases/new-jersey-interagency-transportation-after-action-report-aar-njny-stadium-fifa</x:v>
      </x:c>
    </x:row>
    <x:row r="10">
      <x:c r="A10" s="78" t="str">
        <x:v>match</x:v>
      </x:c>
      <x:c r="B10" s="78" t="n">
        <x:v>67</x:v>
      </x:c>
      <x:c r="C10" s="78" t="str">
        <x:v>Panama vs England</x:v>
      </x:c>
      <x:c r="D10" s="85" t="n">
        <x:v>80663</x:v>
      </x:c>
      <x:c r="E10" s="85" t="n">
        <x:v>8500</x:v>
      </x:c>
      <x:c r="F10" s="85" t="n">
        <x:v>150</x:v>
      </x:c>
      <x:c r="G10" s="85" t="n">
        <x:v>17166</x:v>
      </x:c>
      <x:c r="H10" s="85" t="n">
        <x:v>120</x:v>
      </x:c>
      <x:c r="I10" s="85" t="n">
        <x:v>25702</x:v>
      </x:c>
      <x:c r="J10" s="85" t="n">
        <x:v>26009</x:v>
      </x:c>
      <x:c r="K10" s="85" t="n">
        <x:v>60</x:v>
      </x:c>
      <x:c r="L10" s="85" t="n">
        <x:v>600</x:v>
      </x:c>
      <x:c r="M10" s="85" t="n">
        <x:v>9000</x:v>
      </x:c>
      <x:c r="N10" s="85" t="n">
        <x:v>50000</x:v>
      </x:c>
      <x:c r="O10" s="85" t="n">
        <x:v>-2305</x:v>
      </x:c>
      <x:c r="P10" s="85" t="n">
        <x:v>15400</x:v>
      </x:c>
      <x:c r="Q10" s="85" t="n">
        <x:v>4295</x:v>
      </x:c>
      <x:c r="R10" s="85" t="n">
        <x:v>8628</x:v>
      </x:c>
      <x:c r="S10" s="86" t="n">
        <x:f>E10/$E$5</x:f>
        <x:v>1.4166666666666667</x:v>
      </x:c>
      <x:c r="T10" s="86" t="n">
        <x:f>N10/$N$5</x:f>
        <x:v>1.8867924528301887</x:v>
      </x:c>
      <x:c r="U10" s="85" t="n">
        <x:f>J10/(K10/60)</x:f>
        <x:v>26009</x:v>
      </x:c>
      <x:c r="V10" s="78" t="str">
        <x:v>observed_final</x:v>
      </x:c>
      <x:c r="W10" s="78" t="str">
        <x:v>njt-aar-2026</x:v>
      </x:c>
      <x:c r="X10" s="78" t="str">
        <x:v>https://www.njtransit.com/press-releases/new-jersey-interagency-transportation-after-action-report-aar-njny-stadium-fifa</x:v>
      </x:c>
    </x:row>
    <x:row r="11">
      <x:c r="A11" s="78" t="str">
        <x:v>match</x:v>
      </x:c>
      <x:c r="B11" s="78" t="n">
        <x:v>77</x:v>
      </x:c>
      <x:c r="C11" s="78" t="str">
        <x:v>France vs Sweden</x:v>
      </x:c>
      <x:c r="D11" s="85" t="n">
        <x:v>73115</x:v>
      </x:c>
      <x:c r="E11" s="85" t="n">
        <x:v>8500</x:v>
      </x:c>
      <x:c r="F11" s="85" t="n">
        <x:v>150</x:v>
      </x:c>
      <x:c r="G11" s="85" t="n">
        <x:v>17877</x:v>
      </x:c>
      <x:c r="H11" s="85" t="n">
        <x:v>135</x:v>
      </x:c>
      <x:c r="I11" s="85" t="n">
        <x:v>22631</x:v>
      </x:c>
      <x:c r="J11" s="85" t="n">
        <x:v>22816</x:v>
      </x:c>
      <x:c r="K11" s="85" t="n">
        <x:v>60</x:v>
      </x:c>
      <x:c r="L11" s="85" t="n">
        <x:v>300</x:v>
      </x:c>
      <x:c r="M11" s="85" t="n">
        <x:v>10480</x:v>
      </x:c>
      <x:c r="N11" s="85" t="n">
        <x:v>45000</x:v>
      </x:c>
      <x:c r="O11" s="85" t="n">
        <x:v>-8673</x:v>
      </x:c>
      <x:c r="P11" s="85" t="n">
        <x:v>11720</x:v>
      </x:c>
      <x:c r="Q11" s="85" t="n">
        <x:v>1607</x:v>
      </x:c>
      <x:c r="R11" s="85" t="n">
        <x:v>8351</x:v>
      </x:c>
      <x:c r="S11" s="86" t="n">
        <x:f>E11/$E$5</x:f>
        <x:v>1.4166666666666667</x:v>
      </x:c>
      <x:c r="T11" s="86" t="n">
        <x:f>N11/$N$5</x:f>
        <x:v>1.6981132075471699</x:v>
      </x:c>
      <x:c r="U11" s="85" t="n">
        <x:f>J11/(K11/60)</x:f>
        <x:v>22816</x:v>
      </x:c>
      <x:c r="V11" s="78" t="str">
        <x:v>observed_final</x:v>
      </x:c>
      <x:c r="W11" s="78" t="str">
        <x:v>njt-aar-2026</x:v>
      </x:c>
      <x:c r="X11" s="78" t="str">
        <x:v>https://www.njtransit.com/press-releases/new-jersey-interagency-transportation-after-action-report-aar-njny-stadium-fifa</x:v>
      </x:c>
    </x:row>
    <x:row r="12">
      <x:c r="A12" s="78" t="str">
        <x:v>match</x:v>
      </x:c>
      <x:c r="B12" s="78" t="n">
        <x:v>91</x:v>
      </x:c>
      <x:c r="C12" s="78" t="str">
        <x:v>Brazil vs Norway</x:v>
      </x:c>
      <x:c r="D12" s="85" t="n">
        <x:v>74273</x:v>
      </x:c>
      <x:c r="E12" s="85" t="n">
        <x:v>11100</x:v>
      </x:c>
      <x:c r="F12" s="85" t="n">
        <x:v>150</x:v>
      </x:c>
      <x:c r="G12" s="85" t="n">
        <x:v>18000</x:v>
      </x:c>
      <x:c r="H12" s="85" t="n">
        <x:v>150</x:v>
      </x:c>
      <x:c r="I12" s="85" t="n">
        <x:v>21856</x:v>
      </x:c>
      <x:c r="J12" s="85" t="n">
        <x:v>22258</x:v>
      </x:c>
      <x:c r="K12" s="85" t="n">
        <x:v>60</x:v>
      </x:c>
      <x:c r="L12" s="85" t="n">
        <x:v>300</x:v>
      </x:c>
      <x:c r="M12" s="85" t="n">
        <x:v>7195</x:v>
      </x:c>
      <x:c r="N12" s="85" t="n">
        <x:v>46000</x:v>
      </x:c>
      <x:c r="O12" s="85" t="n">
        <x:v>-6178</x:v>
      </x:c>
      <x:c r="P12" s="85" t="n">
        <x:v>15505</x:v>
      </x:c>
      <x:c r="Q12" s="85" t="n">
        <x:v>317</x:v>
      </x:c>
      <x:c r="R12" s="85" t="n">
        <x:v>6893</x:v>
      </x:c>
      <x:c r="S12" s="86" t="n">
        <x:f>E12/$E$5</x:f>
        <x:v>1.85</x:v>
      </x:c>
      <x:c r="T12" s="86" t="n">
        <x:f>N12/$N$5</x:f>
        <x:v>1.7358490566037736</x:v>
      </x:c>
      <x:c r="U12" s="85" t="n">
        <x:f>J12/(K12/60)</x:f>
        <x:v>22258</x:v>
      </x:c>
      <x:c r="V12" s="78" t="str">
        <x:v>observed_final</x:v>
      </x:c>
      <x:c r="W12" s="78" t="str">
        <x:v>njt-aar-2026</x:v>
      </x:c>
      <x:c r="X12" s="78" t="str">
        <x:v>https://www.njtransit.com/press-releases/new-jersey-interagency-transportation-after-action-report-aar-njny-stadium-fifa</x:v>
      </x:c>
    </x:row>
    <x:row r="13">
      <x:c r="A13" s="90" t="str">
        <x:v>match</x:v>
      </x:c>
      <x:c r="B13" s="90" t="n">
        <x:v>104</x:v>
      </x:c>
      <x:c r="C13" s="90" t="str">
        <x:v>Spain vs Argentina</x:v>
      </x:c>
      <x:c r="D13" s="91" t="n">
        <x:v>80663</x:v>
      </x:c>
      <x:c r="E13" s="91" t="n">
        <x:v>16200</x:v>
      </x:c>
      <x:c r="F13" s="91" t="n">
        <x:v>180</x:v>
      </x:c>
      <x:c r="G13" s="91" t="n">
        <x:v>11168</x:v>
      </x:c>
      <x:c r="H13" s="91" t="n">
        <x:v>120</x:v>
      </x:c>
      <x:c r="I13" s="91" t="n">
        <x:v>20114</x:v>
      </x:c>
      <x:c r="J13" s="91" t="n">
        <x:v>21024</x:v>
      </x:c>
      <x:c r="K13" s="91" t="n">
        <x:v>60</x:v>
      </x:c>
      <x:c r="L13" s="91" t="n">
        <x:v>1000</x:v>
      </x:c>
      <x:c r="M13" s="91" t="n">
        <x:v>9310</x:v>
      </x:c>
      <x:c r="N13" s="91" t="n">
        <x:v>65000</x:v>
      </x:c>
      <x:c r="O13" s="91" t="n">
        <x:v>871</x:v>
      </x:c>
      <x:c r="P13" s="91" t="n">
        <x:v>22190</x:v>
      </x:c>
      <x:c r="Q13" s="91" t="n">
        <x:v>681</x:v>
      </x:c>
      <x:c r="R13" s="91" t="n">
        <x:v>2817</x:v>
      </x:c>
      <x:c r="S13" s="92" t="n">
        <x:f>E13/$E$5</x:f>
        <x:v>2.7</x:v>
      </x:c>
      <x:c r="T13" s="92" t="n">
        <x:f>N13/$N$5</x:f>
        <x:v>2.452830188679245</x:v>
      </x:c>
      <x:c r="U13" s="91" t="n">
        <x:f>J13/(K13/60)</x:f>
        <x:v>21024</x:v>
      </x:c>
      <x:c r="V13" s="90" t="str">
        <x:v>observed_final</x:v>
      </x:c>
      <x:c r="W13" s="90" t="str">
        <x:v>njt-aar-2026</x:v>
      </x:c>
      <x:c r="X13" s="90" t="str">
        <x:v>https://www.njtransit.com/press-releases/new-jersey-interagency-transportation-after-action-report-aar-njny-stadium-fifa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b10824a5dabe44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6" hidden="0" customWidth="1"/>
    <x:col min="4" max="4" width="36" hidden="0" customWidth="1"/>
    <x:col min="5" max="5" width="14" hidden="0" customWidth="1"/>
    <x:col min="6" max="6" width="18" hidden="0" customWidth="1"/>
    <x:col min="7" max="7" width="20" hidden="0" customWidth="1"/>
    <x:col min="8" max="8" width="22" hidden="0" customWidth="1"/>
    <x:col min="9" max="9" width="30" hidden="0" customWidth="1"/>
    <x:col min="10" max="10" width="22" hidden="0" customWidth="1"/>
    <x:col min="11" max="11" width="58" hidden="0" customWidth="1"/>
  </x:cols>
  <x:sheetData>
    <x:row r="1" ht="30" customHeight="1">
      <x:c r="A1" s="129" t="str">
        <x:v>2026 Observations and Official Plans</x:v>
      </x:c>
    </x:row>
    <x:row r="2" ht="38" customHeight="1">
      <x:c r="A2" s="73" t="str">
        <x:v>These records are suitable for evidence cards and calibration. Qualifiers such as 'approximately', 'more than' and 'preliminary' must remain visible in the application.</x:v>
      </x:c>
    </x:row>
    <x:row r="4">
      <x:c r="A4" s="76" t="str">
        <x:v>observation_id</x:v>
      </x:c>
      <x:c r="B4" s="76" t="str">
        <x:v>region</x:v>
      </x:c>
      <x:c r="C4" s="76" t="str">
        <x:v>date_or_scope</x:v>
      </x:c>
      <x:c r="D4" s="76" t="str">
        <x:v>metric</x:v>
      </x:c>
      <x:c r="E4" s="76" t="str">
        <x:v>value</x:v>
      </x:c>
      <x:c r="F4" s="76" t="str">
        <x:v>unit</x:v>
      </x:c>
      <x:c r="G4" s="76" t="str">
        <x:v>qualifier</x:v>
      </x:c>
      <x:c r="H4" s="76" t="str">
        <x:v>evidence_class</x:v>
      </x:c>
      <x:c r="I4" s="76" t="str">
        <x:v>model_use</x:v>
      </x:c>
      <x:c r="J4" s="76" t="str">
        <x:v>source_id</x:v>
      </x:c>
      <x:c r="K4" s="76" t="str">
        <x:v>source_url</x:v>
      </x:c>
    </x:row>
    <x:row r="5">
      <x:c r="A5" s="78" t="str">
        <x:v>wc26-matches</x:v>
      </x:c>
      <x:c r="B5" s="78" t="str">
        <x:v>Tournament</x:v>
      </x:c>
      <x:c r="C5" s="78" t="str">
        <x:v>Tournament</x:v>
      </x:c>
      <x:c r="D5" s="78" t="str">
        <x:v>Matches staged</x:v>
      </x:c>
      <x:c r="E5" s="93" t="n">
        <x:v>104</x:v>
      </x:c>
      <x:c r="F5" s="78" t="str">
        <x:v>matches</x:v>
      </x:c>
      <x:c r="G5" s="78" t="str">
        <x:v>exact</x:v>
      </x:c>
      <x:c r="H5" s="78" t="str">
        <x:v>observed_final</x:v>
      </x:c>
      <x:c r="I5" s="78" t="str">
        <x:v>Tournament scale</x:v>
      </x:c>
      <x:c r="J5" s="78" t="str">
        <x:v>fifa-by-numbers</x:v>
      </x:c>
      <x:c r="K5" s="78" t="str">
        <x:v>https://inside.fifa.com/tournament-organisation/fifa-world-cup-2026-by-the-numbers</x:v>
      </x:c>
    </x:row>
    <x:row r="6">
      <x:c r="A6" s="78" t="str">
        <x:v>wc26-attendance</x:v>
      </x:c>
      <x:c r="B6" s="78" t="str">
        <x:v>Tournament</x:v>
      </x:c>
      <x:c r="C6" s="78" t="str">
        <x:v>Tournament</x:v>
      </x:c>
      <x:c r="D6" s="78" t="str">
        <x:v>Match attendees</x:v>
      </x:c>
      <x:c r="E6" s="93" t="n">
        <x:v>6800000</x:v>
      </x:c>
      <x:c r="F6" s="78" t="str">
        <x:v>attendees</x:v>
      </x:c>
      <x:c r="G6" s="78" t="str">
        <x:v>more than</x:v>
      </x:c>
      <x:c r="H6" s="78" t="str">
        <x:v>observed_final</x:v>
      </x:c>
      <x:c r="I6" s="78" t="str">
        <x:v>Systemwide event demand</x:v>
      </x:c>
      <x:c r="J6" s="78" t="str">
        <x:v>fifa-by-numbers</x:v>
      </x:c>
      <x:c r="K6" s="78" t="str">
        <x:v>https://inside.fifa.com/tournament-organisation/fifa-world-cup-2026-by-the-numbers</x:v>
      </x:c>
    </x:row>
    <x:row r="7">
      <x:c r="A7" s="78" t="str">
        <x:v>wc26-fanfest-visits</x:v>
      </x:c>
      <x:c r="B7" s="78" t="str">
        <x:v>Tournament</x:v>
      </x:c>
      <x:c r="C7" s="78" t="str">
        <x:v>Fan festivals</x:v>
      </x:c>
      <x:c r="D7" s="78" t="str">
        <x:v>Fan-festival visits</x:v>
      </x:c>
      <x:c r="E7" s="93" t="n">
        <x:v>9017000</x:v>
      </x:c>
      <x:c r="F7" s="78" t="str">
        <x:v>visits</x:v>
      </x:c>
      <x:c r="G7" s="78" t="str">
        <x:v>exact reported total</x:v>
      </x:c>
      <x:c r="H7" s="78" t="str">
        <x:v>observed_final</x:v>
      </x:c>
      <x:c r="I7" s="78" t="str">
        <x:v>Non-stadium mobility demand</x:v>
      </x:c>
      <x:c r="J7" s="78" t="str">
        <x:v>fifa-fanfest-2026</x:v>
      </x:c>
      <x:c r="K7" s="78" t="str">
        <x:v>https://inside.fifa.com/organisation/media-releases/fan-festival-extends-historic-world-cup-2026-experience-millions-record-breaking-celebrations-host-countries</x:v>
      </x:c>
    </x:row>
    <x:row r="8">
      <x:c r="A8" s="78" t="str">
        <x:v>wc26-fanfest-sites</x:v>
      </x:c>
      <x:c r="B8" s="78" t="str">
        <x:v>Tournament</x:v>
      </x:c>
      <x:c r="C8" s="78" t="str">
        <x:v>Fan festivals</x:v>
      </x:c>
      <x:c r="D8" s="78" t="str">
        <x:v>Fan-festival sites</x:v>
      </x:c>
      <x:c r="E8" s="93" t="n">
        <x:v>13</x:v>
      </x:c>
      <x:c r="F8" s="78" t="str">
        <x:v>sites</x:v>
      </x:c>
      <x:c r="G8" s="78" t="str">
        <x:v>exact</x:v>
      </x:c>
      <x:c r="H8" s="78" t="str">
        <x:v>observed_final</x:v>
      </x:c>
      <x:c r="I8" s="78" t="str">
        <x:v>Distributed event demand</x:v>
      </x:c>
      <x:c r="J8" s="78" t="str">
        <x:v>fifa-fanfest-2026</x:v>
      </x:c>
      <x:c r="K8" s="78" t="str">
        <x:v>https://inside.fifa.com/organisation/media-releases/fan-festival-extends-historic-world-cup-2026-experience-millions-record-breaking-celebrations-host-countries</x:v>
      </x:c>
    </x:row>
    <x:row r="9">
      <x:c r="A9" s="78" t="str">
        <x:v>wc26-fanfest-days</x:v>
      </x:c>
      <x:c r="B9" s="78" t="str">
        <x:v>Tournament</x:v>
      </x:c>
      <x:c r="C9" s="78" t="str">
        <x:v>Fan festivals</x:v>
      </x:c>
      <x:c r="D9" s="78" t="str">
        <x:v>Operating days</x:v>
      </x:c>
      <x:c r="E9" s="93" t="n">
        <x:v>348</x:v>
      </x:c>
      <x:c r="F9" s="78" t="str">
        <x:v>site-days</x:v>
      </x:c>
      <x:c r="G9" s="78" t="str">
        <x:v>exact</x:v>
      </x:c>
      <x:c r="H9" s="78" t="str">
        <x:v>observed_final</x:v>
      </x:c>
      <x:c r="I9" s="78" t="str">
        <x:v>Duration/exposure</x:v>
      </x:c>
      <x:c r="J9" s="78" t="str">
        <x:v>fifa-fanfest-2026</x:v>
      </x:c>
      <x:c r="K9" s="78" t="str">
        <x:v>https://inside.fifa.com/organisation/media-releases/fan-festival-extends-historic-world-cup-2026-experience-millions-record-breaking-celebrations-host-countries</x:v>
      </x:c>
    </x:row>
    <x:row r="10">
      <x:c r="A10" s="78" t="str">
        <x:v>atl-rail-total</x:v>
      </x:c>
      <x:c r="B10" s="78" t="str">
        <x:v>Atlanta</x:v>
      </x:c>
      <x:c r="C10" s="78" t="str">
        <x:v>35-day event period</x:v>
      </x:c>
      <x:c r="D10" s="78" t="str">
        <x:v>Rail passenger trips</x:v>
      </x:c>
      <x:c r="E10" s="93" t="n">
        <x:v>4700000</x:v>
      </x:c>
      <x:c r="F10" s="78" t="str">
        <x:v>trips</x:v>
      </x:c>
      <x:c r="G10" s="78" t="str">
        <x:v>reported total; includes associated events</x:v>
      </x:c>
      <x:c r="H10" s="78" t="str">
        <x:v>observed_final</x:v>
      </x:c>
      <x:c r="I10" s="78" t="str">
        <x:v>Rail demand baseline</x:v>
      </x:c>
      <x:c r="J10" s="78" t="str">
        <x:v>marta-post-2026</x:v>
      </x:c>
      <x:c r="K10" s="78" t="str">
        <x:v>https://itsmarta.com/marta-safely-moves-millions.aspx</x:v>
      </x:c>
    </x:row>
    <x:row r="11">
      <x:c r="A11" s="78" t="str">
        <x:v>atl-jun24</x:v>
      </x:c>
      <x:c r="B11" s="78" t="str">
        <x:v>Atlanta</x:v>
      </x:c>
      <x:c r="C11" s="78" t="str">
        <x:v>2026-06-24</x:v>
      </x:c>
      <x:c r="D11" s="78" t="str">
        <x:v>Rail passenger trips</x:v>
      </x:c>
      <x:c r="E11" s="93" t="n">
        <x:v>240000</x:v>
      </x:c>
      <x:c r="F11" s="78" t="str">
        <x:v>trips</x:v>
      </x:c>
      <x:c r="G11" s="78" t="str">
        <x:v>approximately</x:v>
      </x:c>
      <x:c r="H11" s="78" t="str">
        <x:v>observed_final</x:v>
      </x:c>
      <x:c r="I11" s="78" t="str">
        <x:v>Peak-day calibration</x:v>
      </x:c>
      <x:c r="J11" s="78" t="str">
        <x:v>marta-post-2026</x:v>
      </x:c>
      <x:c r="K11" s="78" t="str">
        <x:v>https://itsmarta.com/marta-safely-moves-millions.aspx</x:v>
      </x:c>
    </x:row>
    <x:row r="12">
      <x:c r="A12" s="78" t="str">
        <x:v>atl-jun24-multiple</x:v>
      </x:c>
      <x:c r="B12" s="78" t="str">
        <x:v>Atlanta</x:v>
      </x:c>
      <x:c r="C12" s="78" t="str">
        <x:v>2026-06-24</x:v>
      </x:c>
      <x:c r="D12" s="78" t="str">
        <x:v>Typical-weekday multiple</x:v>
      </x:c>
      <x:c r="E12" s="93" t="n">
        <x:v>2.6</x:v>
      </x:c>
      <x:c r="F12" s="78" t="str">
        <x:v>times</x:v>
      </x:c>
      <x:c r="G12" s="78" t="str">
        <x:v>approximately</x:v>
      </x:c>
      <x:c r="H12" s="78" t="str">
        <x:v>derived</x:v>
      </x:c>
      <x:c r="I12" s="78" t="str">
        <x:v>Crowding stress</x:v>
      </x:c>
      <x:c r="J12" s="78" t="str">
        <x:v>marta-post-2026</x:v>
      </x:c>
      <x:c r="K12" s="78" t="str">
        <x:v>https://itsmarta.com/marta-safely-moves-millions.aspx</x:v>
      </x:c>
    </x:row>
    <x:row r="13">
      <x:c r="A13" s="78" t="str">
        <x:v>atl-jul1</x:v>
      </x:c>
      <x:c r="B13" s="78" t="str">
        <x:v>Atlanta</x:v>
      </x:c>
      <x:c r="C13" s="78" t="str">
        <x:v>2026-07-01</x:v>
      </x:c>
      <x:c r="D13" s="78" t="str">
        <x:v>Rail passenger trips</x:v>
      </x:c>
      <x:c r="E13" s="93" t="n">
        <x:v>230000</x:v>
      </x:c>
      <x:c r="F13" s="78" t="str">
        <x:v>trips</x:v>
      </x:c>
      <x:c r="G13" s="78" t="str">
        <x:v>approximately</x:v>
      </x:c>
      <x:c r="H13" s="78" t="str">
        <x:v>observed_final</x:v>
      </x:c>
      <x:c r="I13" s="78" t="str">
        <x:v>Second-peak calibration</x:v>
      </x:c>
      <x:c r="J13" s="78" t="str">
        <x:v>marta-post-2026</x:v>
      </x:c>
      <x:c r="K13" s="78" t="str">
        <x:v>https://itsmarta.com/marta-safely-moves-millions.aspx</x:v>
      </x:c>
    </x:row>
    <x:row r="14">
      <x:c r="A14" s="78" t="str">
        <x:v>atl-incremental</x:v>
      </x:c>
      <x:c r="B14" s="78" t="str">
        <x:v>Atlanta</x:v>
      </x:c>
      <x:c r="C14" s="78" t="str">
        <x:v>Match days</x:v>
      </x:c>
      <x:c r="D14" s="78" t="str">
        <x:v>Additional rail trips per day</x:v>
      </x:c>
      <x:c r="E14" s="93" t="n">
        <x:v>130000</x:v>
      </x:c>
      <x:c r="F14" s="78" t="str">
        <x:v>trips</x:v>
      </x:c>
      <x:c r="G14" s="78" t="str">
        <x:v>average nearly</x:v>
      </x:c>
      <x:c r="H14" s="78" t="str">
        <x:v>observed_final</x:v>
      </x:c>
      <x:c r="I14" s="78" t="str">
        <x:v>Incremental service demand</x:v>
      </x:c>
      <x:c r="J14" s="78" t="str">
        <x:v>marta-post-2026</x:v>
      </x:c>
      <x:c r="K14" s="78" t="str">
        <x:v>https://itsmarta.com/marta-safely-moves-millions.aspx</x:v>
      </x:c>
    </x:row>
    <x:row r="15">
      <x:c r="A15" s="78" t="str">
        <x:v>atl-sec-share</x:v>
      </x:c>
      <x:c r="B15" s="78" t="str">
        <x:v>Atlanta</x:v>
      </x:c>
      <x:c r="C15" s="78" t="str">
        <x:v>Match days</x:v>
      </x:c>
      <x:c r="D15" s="78" t="str">
        <x:v>SEC District demand share</x:v>
      </x:c>
      <x:c r="E15" s="94" t="n">
        <x:v>0.38</x:v>
      </x:c>
      <x:c r="F15" s="78" t="str">
        <x:v>share</x:v>
      </x:c>
      <x:c r="G15" s="78" t="str">
        <x:v>reported</x:v>
      </x:c>
      <x:c r="H15" s="78" t="str">
        <x:v>observed_final</x:v>
      </x:c>
      <x:c r="I15" s="78" t="str">
        <x:v>Station capacity priority</x:v>
      </x:c>
      <x:c r="J15" s="78" t="str">
        <x:v>marta-post-2026</x:v>
      </x:c>
      <x:c r="K15" s="78" t="str">
        <x:v>https://itsmarta.com/marta-safely-moves-millions.aspx</x:v>
      </x:c>
    </x:row>
    <x:row r="16">
      <x:c r="A16" s="78" t="str">
        <x:v>atl-peachtree-share</x:v>
      </x:c>
      <x:c r="B16" s="78" t="str">
        <x:v>Atlanta</x:v>
      </x:c>
      <x:c r="C16" s="78" t="str">
        <x:v>Match days</x:v>
      </x:c>
      <x:c r="D16" s="78" t="str">
        <x:v>Peachtree Center demand share</x:v>
      </x:c>
      <x:c r="E16" s="94" t="n">
        <x:v>0.3</x:v>
      </x:c>
      <x:c r="F16" s="78" t="str">
        <x:v>share</x:v>
      </x:c>
      <x:c r="G16" s="78" t="str">
        <x:v>reported</x:v>
      </x:c>
      <x:c r="H16" s="78" t="str">
        <x:v>observed_final</x:v>
      </x:c>
      <x:c r="I16" s="78" t="str">
        <x:v>Station capacity priority</x:v>
      </x:c>
      <x:c r="J16" s="78" t="str">
        <x:v>marta-post-2026</x:v>
      </x:c>
      <x:c r="K16" s="78" t="str">
        <x:v>https://itsmarta.com/marta-safely-moves-millions.aspx</x:v>
      </x:c>
    </x:row>
    <x:row r="17">
      <x:c r="A17" s="78" t="str">
        <x:v>atl-fivepoints-share</x:v>
      </x:c>
      <x:c r="B17" s="78" t="str">
        <x:v>Atlanta</x:v>
      </x:c>
      <x:c r="C17" s="78" t="str">
        <x:v>Match days</x:v>
      </x:c>
      <x:c r="D17" s="78" t="str">
        <x:v>Five Points demand share</x:v>
      </x:c>
      <x:c r="E17" s="94" t="n">
        <x:v>0.18</x:v>
      </x:c>
      <x:c r="F17" s="78" t="str">
        <x:v>share</x:v>
      </x:c>
      <x:c r="G17" s="78" t="str">
        <x:v>reported</x:v>
      </x:c>
      <x:c r="H17" s="78" t="str">
        <x:v>observed_final</x:v>
      </x:c>
      <x:c r="I17" s="78" t="str">
        <x:v>Station capacity priority</x:v>
      </x:c>
      <x:c r="J17" s="78" t="str">
        <x:v>marta-post-2026</x:v>
      </x:c>
      <x:c r="K17" s="78" t="str">
        <x:v>https://itsmarta.com/marta-safely-moves-millions.aspx</x:v>
      </x:c>
    </x:row>
    <x:row r="18">
      <x:c r="A18" s="78" t="str">
        <x:v>atl-vinecity-share</x:v>
      </x:c>
      <x:c r="B18" s="78" t="str">
        <x:v>Atlanta</x:v>
      </x:c>
      <x:c r="C18" s="78" t="str">
        <x:v>Match days</x:v>
      </x:c>
      <x:c r="D18" s="78" t="str">
        <x:v>Vine City demand share</x:v>
      </x:c>
      <x:c r="E18" s="94" t="n">
        <x:v>0.14</x:v>
      </x:c>
      <x:c r="F18" s="78" t="str">
        <x:v>share</x:v>
      </x:c>
      <x:c r="G18" s="78" t="str">
        <x:v>reported</x:v>
      </x:c>
      <x:c r="H18" s="78" t="str">
        <x:v>observed_final</x:v>
      </x:c>
      <x:c r="I18" s="78" t="str">
        <x:v>Station capacity priority</x:v>
      </x:c>
      <x:c r="J18" s="78" t="str">
        <x:v>marta-post-2026</x:v>
      </x:c>
      <x:c r="K18" s="78" t="str">
        <x:v>https://itsmarta.com/marta-safely-moves-millions.aspx</x:v>
      </x:c>
    </x:row>
    <x:row r="19">
      <x:c r="A19" s="78" t="str">
        <x:v>bos-roundtrips</x:v>
      </x:c>
      <x:c r="B19" s="78" t="str">
        <x:v>Boston</x:v>
      </x:c>
      <x:c r="C19" s="78" t="str">
        <x:v>Seven matches</x:v>
      </x:c>
      <x:c r="D19" s="78" t="str">
        <x:v>Event-train round trips</x:v>
      </x:c>
      <x:c r="E19" s="93" t="n">
        <x:v>98</x:v>
      </x:c>
      <x:c r="F19" s="78" t="str">
        <x:v>round trips</x:v>
      </x:c>
      <x:c r="G19" s="78" t="str">
        <x:v>reported</x:v>
      </x:c>
      <x:c r="H19" s="78" t="str">
        <x:v>observed_final</x:v>
      </x:c>
      <x:c r="I19" s="78" t="str">
        <x:v>Special-service requirement</x:v>
      </x:c>
      <x:c r="J19" s="78" t="str">
        <x:v>mass-post-2026</x:v>
      </x:c>
      <x:c r="K19" s="78" t="str">
        <x:v>https://www.mass.gov/news/governor-healey-celebrates-successful-world-cup-operations-across-massachusetts</x:v>
      </x:c>
    </x:row>
    <x:row r="20">
      <x:c r="A20" s="78" t="str">
        <x:v>bos-permatch</x:v>
      </x:c>
      <x:c r="B20" s="78" t="str">
        <x:v>Boston</x:v>
      </x:c>
      <x:c r="C20" s="78" t="str">
        <x:v>Per match</x:v>
      </x:c>
      <x:c r="D20" s="78" t="str">
        <x:v>Event-train round trips</x:v>
      </x:c>
      <x:c r="E20" s="93" t="n">
        <x:v>14</x:v>
      </x:c>
      <x:c r="F20" s="78" t="str">
        <x:v>round trips</x:v>
      </x:c>
      <x:c r="G20" s="78" t="str">
        <x:v>reported</x:v>
      </x:c>
      <x:c r="H20" s="78" t="str">
        <x:v>observed_final</x:v>
      </x:c>
      <x:c r="I20" s="78" t="str">
        <x:v>Per-event service requirement</x:v>
      </x:c>
      <x:c r="J20" s="78" t="str">
        <x:v>mass-post-2026</x:v>
      </x:c>
      <x:c r="K20" s="78" t="str">
        <x:v>https://www.mass.gov/news/governor-healey-celebrates-successful-world-cup-operations-across-massachusetts</x:v>
      </x:c>
    </x:row>
    <x:row r="21">
      <x:c r="A21" s="78" t="str">
        <x:v>bos-tickets</x:v>
      </x:c>
      <x:c r="B21" s="78" t="str">
        <x:v>Boston</x:v>
      </x:c>
      <x:c r="C21" s="78" t="str">
        <x:v>Seven matches</x:v>
      </x:c>
      <x:c r="D21" s="78" t="str">
        <x:v>Round-trip tickets sold</x:v>
      </x:c>
      <x:c r="E21" s="93" t="n">
        <x:v>108940</x:v>
      </x:c>
      <x:c r="F21" s="78" t="str">
        <x:v>tickets</x:v>
      </x:c>
      <x:c r="G21" s="78" t="str">
        <x:v>reported</x:v>
      </x:c>
      <x:c r="H21" s="78" t="str">
        <x:v>observed_final</x:v>
      </x:c>
      <x:c r="I21" s="78" t="str">
        <x:v>Rail demand</x:v>
      </x:c>
      <x:c r="J21" s="78" t="str">
        <x:v>mass-post-2026</x:v>
      </x:c>
      <x:c r="K21" s="78" t="str">
        <x:v>https://www.mass.gov/news/governor-healey-celebrates-successful-world-cup-operations-across-massachusetts</x:v>
      </x:c>
    </x:row>
    <x:row r="22">
      <x:c r="A22" s="78" t="str">
        <x:v>bos-arrival-buffer</x:v>
      </x:c>
      <x:c r="B22" s="78" t="str">
        <x:v>Boston</x:v>
      </x:c>
      <x:c r="C22" s="78" t="str">
        <x:v>Match operations</x:v>
      </x:c>
      <x:c r="D22" s="78" t="str">
        <x:v>Minimum train arrival before kickoff</x:v>
      </x:c>
      <x:c r="E22" s="93" t="n">
        <x:v>90</x:v>
      </x:c>
      <x:c r="F22" s="78" t="str">
        <x:v>minutes</x:v>
      </x:c>
      <x:c r="G22" s="78" t="str">
        <x:v>at least</x:v>
      </x:c>
      <x:c r="H22" s="78" t="str">
        <x:v>observed_final</x:v>
      </x:c>
      <x:c r="I22" s="78" t="str">
        <x:v>Schedule resilience</x:v>
      </x:c>
      <x:c r="J22" s="78" t="str">
        <x:v>mass-post-2026</x:v>
      </x:c>
      <x:c r="K22" s="78" t="str">
        <x:v>https://www.mass.gov/news/governor-healey-celebrates-successful-world-cup-operations-across-massachusetts</x:v>
      </x:c>
    </x:row>
    <x:row r="23">
      <x:c r="A23" s="78" t="str">
        <x:v>bos-wayfinding</x:v>
      </x:c>
      <x:c r="B23" s="78" t="str">
        <x:v>Boston</x:v>
      </x:c>
      <x:c r="C23" s="78" t="str">
        <x:v>Tournament</x:v>
      </x:c>
      <x:c r="D23" s="78" t="str">
        <x:v>Wayfinding elements</x:v>
      </x:c>
      <x:c r="E23" s="93" t="n">
        <x:v>400</x:v>
      </x:c>
      <x:c r="F23" s="78" t="str">
        <x:v>elements</x:v>
      </x:c>
      <x:c r="G23" s="78" t="str">
        <x:v>more than</x:v>
      </x:c>
      <x:c r="H23" s="78" t="str">
        <x:v>observed_final</x:v>
      </x:c>
      <x:c r="I23" s="78" t="str">
        <x:v>Wayfinding scale</x:v>
      </x:c>
      <x:c r="J23" s="78" t="str">
        <x:v>mass-post-2026</x:v>
      </x:c>
      <x:c r="K23" s="78" t="str">
        <x:v>https://www.mass.gov/news/governor-healey-celebrates-successful-world-cup-operations-across-massachusetts</x:v>
      </x:c>
    </x:row>
    <x:row r="24">
      <x:c r="A24" s="78" t="str">
        <x:v>bos-staff</x:v>
      </x:c>
      <x:c r="B24" s="78" t="str">
        <x:v>Boston</x:v>
      </x:c>
      <x:c r="C24" s="78" t="str">
        <x:v>Per match day</x:v>
      </x:c>
      <x:c r="D24" s="78" t="str">
        <x:v>Employees deployed</x:v>
      </x:c>
      <x:c r="E24" s="93" t="n">
        <x:v>700</x:v>
      </x:c>
      <x:c r="F24" s="78" t="str">
        <x:v>employees</x:v>
      </x:c>
      <x:c r="G24" s="78" t="str">
        <x:v>approximately</x:v>
      </x:c>
      <x:c r="H24" s="78" t="str">
        <x:v>observed_final</x:v>
      </x:c>
      <x:c r="I24" s="78" t="str">
        <x:v>Labor intensity</x:v>
      </x:c>
      <x:c r="J24" s="78" t="str">
        <x:v>mass-post-2026</x:v>
      </x:c>
      <x:c r="K24" s="78" t="str">
        <x:v>https://www.mass.gov/news/governor-healey-celebrates-successful-world-cup-operations-across-massachusetts</x:v>
      </x:c>
    </x:row>
    <x:row r="25">
      <x:c r="A25" s="78" t="str">
        <x:v>la-stadium-rides</x:v>
      </x:c>
      <x:c r="B25" s="78" t="str">
        <x:v>Los Angeles</x:v>
      </x:c>
      <x:c r="C25" s="78" t="str">
        <x:v>Tournament</x:v>
      </x:c>
      <x:c r="D25" s="78" t="str">
        <x:v>Rides directly to/from stadium</x:v>
      </x:c>
      <x:c r="E25" s="93" t="n">
        <x:v>212865</x:v>
      </x:c>
      <x:c r="F25" s="78" t="str">
        <x:v>rides</x:v>
      </x:c>
      <x:c r="G25" s="78" t="str">
        <x:v>reported</x:v>
      </x:c>
      <x:c r="H25" s="78" t="str">
        <x:v>observed_final</x:v>
      </x:c>
      <x:c r="I25" s="78" t="str">
        <x:v>Connector demand</x:v>
      </x:c>
      <x:c r="J25" s="78" t="str">
        <x:v>la-metro-post-2026</x:v>
      </x:c>
      <x:c r="K25" s="78" t="str">
        <x:v>https://thesource.metro.net/metro-state-of-agency-celebrates-a-year-of-milestones-and-looking-ahead-to-another-transformative-year/</x:v>
      </x:c>
    </x:row>
    <x:row r="26">
      <x:c r="A26" s="78" t="str">
        <x:v>la-june-rail</x:v>
      </x:c>
      <x:c r="B26" s="78" t="str">
        <x:v>Los Angeles</x:v>
      </x:c>
      <x:c r="C26" s="78" t="str">
        <x:v>June 2026</x:v>
      </x:c>
      <x:c r="D26" s="78" t="str">
        <x:v>Rail ridership</x:v>
      </x:c>
      <x:c r="E26" s="93" t="n">
        <x:v>6561484</x:v>
      </x:c>
      <x:c r="F26" s="78" t="str">
        <x:v>rides</x:v>
      </x:c>
      <x:c r="G26" s="78" t="str">
        <x:v>reported</x:v>
      </x:c>
      <x:c r="H26" s="78" t="str">
        <x:v>observed_final</x:v>
      </x:c>
      <x:c r="I26" s="78" t="str">
        <x:v>Systemwide demand</x:v>
      </x:c>
      <x:c r="J26" s="78" t="str">
        <x:v>ca-post-2026</x:v>
      </x:c>
      <x:c r="K26" s="78" t="str">
        <x:v>https://www.gov.ca.gov/2026/07/27/from-the-2026-fifa-world-cup-to-la28-california-is-ready/</x:v>
      </x:c>
    </x:row>
    <x:row r="27">
      <x:c r="A27" s="78" t="str">
        <x:v>la-yoy</x:v>
      </x:c>
      <x:c r="B27" s="78" t="str">
        <x:v>Los Angeles</x:v>
      </x:c>
      <x:c r="C27" s="78" t="str">
        <x:v>June 2026</x:v>
      </x:c>
      <x:c r="D27" s="78" t="str">
        <x:v>Rail ridership year-over-year change</x:v>
      </x:c>
      <x:c r="E27" s="94" t="n">
        <x:v>0.218</x:v>
      </x:c>
      <x:c r="F27" s="78" t="str">
        <x:v>share</x:v>
      </x:c>
      <x:c r="G27" s="78" t="str">
        <x:v>reported</x:v>
      </x:c>
      <x:c r="H27" s="78" t="str">
        <x:v>derived</x:v>
      </x:c>
      <x:c r="I27" s="78" t="str">
        <x:v>Demand uplift</x:v>
      </x:c>
      <x:c r="J27" s="78" t="str">
        <x:v>ca-post-2026</x:v>
      </x:c>
      <x:c r="K27" s="78" t="str">
        <x:v>https://www.gov.ca.gov/2026/07/27/from-the-2026-fifa-world-cup-to-la28-california-is-ready/</x:v>
      </x:c>
    </x:row>
    <x:row r="28">
      <x:c r="A28" s="78" t="str">
        <x:v>sf-vta-total</x:v>
      </x:c>
      <x:c r="B28" s="78" t="str">
        <x:v>San Francisco Bay Area</x:v>
      </x:c>
      <x:c r="C28" s="78" t="str">
        <x:v>Six matches</x:v>
      </x:c>
      <x:c r="D28" s="78" t="str">
        <x:v>VTA stadium trips</x:v>
      </x:c>
      <x:c r="E28" s="93" t="n">
        <x:v>230000</x:v>
      </x:c>
      <x:c r="F28" s="78" t="str">
        <x:v>trips</x:v>
      </x:c>
      <x:c r="G28" s="78" t="str">
        <x:v>close to</x:v>
      </x:c>
      <x:c r="H28" s="78" t="str">
        <x:v>observed_final</x:v>
      </x:c>
      <x:c r="I28" s="78" t="str">
        <x:v>Last-leg capacity</x:v>
      </x:c>
      <x:c r="J28" s="78" t="str">
        <x:v>vta-board-2026</x:v>
      </x:c>
      <x:c r="K28" s="78" t="str">
        <x:v>https://www.vta.org/sites/default/files/2026-07/Board%20Correspondence%2007_17_26.pdf</x:v>
      </x:c>
    </x:row>
    <x:row r="29">
      <x:c r="A29" s="78" t="str">
        <x:v>sf-vta-peak</x:v>
      </x:c>
      <x:c r="B29" s="78" t="str">
        <x:v>San Francisco Bay Area</x:v>
      </x:c>
      <x:c r="C29" s="78" t="str">
        <x:v>2026-06-25</x:v>
      </x:c>
      <x:c r="D29" s="78" t="str">
        <x:v>VTA stadium trips</x:v>
      </x:c>
      <x:c r="E29" s="93" t="n">
        <x:v>42000</x:v>
      </x:c>
      <x:c r="F29" s="78" t="str">
        <x:v>trips</x:v>
      </x:c>
      <x:c r="G29" s="78" t="str">
        <x:v>nearly</x:v>
      </x:c>
      <x:c r="H29" s="78" t="str">
        <x:v>observed_final</x:v>
      </x:c>
      <x:c r="I29" s="78" t="str">
        <x:v>Peak last-leg demand</x:v>
      </x:c>
      <x:c r="J29" s="78" t="str">
        <x:v>vta-board-2026</x:v>
      </x:c>
      <x:c r="K29" s="78" t="str">
        <x:v>https://www.vta.org/sites/default/files/2026-07/Board%20Correspondence%2007_17_26.pdf</x:v>
      </x:c>
    </x:row>
    <x:row r="30">
      <x:c r="A30" s="78" t="str">
        <x:v>sea-june</x:v>
      </x:c>
      <x:c r="B30" s="78" t="str">
        <x:v>Seattle</x:v>
      </x:c>
      <x:c r="C30" s="78" t="str">
        <x:v>June 2026</x:v>
      </x:c>
      <x:c r="D30" s="78" t="str">
        <x:v>Link boardings</x:v>
      </x:c>
      <x:c r="E30" s="93" t="n">
        <x:v>5400000</x:v>
      </x:c>
      <x:c r="F30" s="78" t="str">
        <x:v>boardings</x:v>
      </x:c>
      <x:c r="G30" s="78" t="str">
        <x:v>preliminary</x:v>
      </x:c>
      <x:c r="H30" s="78" t="str">
        <x:v>observed_preliminary</x:v>
      </x:c>
      <x:c r="I30" s="78" t="str">
        <x:v>Monthly demand</x:v>
      </x:c>
      <x:c r="J30" s="78" t="str">
        <x:v>soundtransit-post-2026</x:v>
      </x:c>
      <x:c r="K30" s="78" t="str">
        <x:v>https://www.soundtransit.org/get-to-know-us/news-events/news-releases/sound-transit-set-all-time-records-daily-monthly-ridership</x:v>
      </x:c>
    </x:row>
    <x:row r="31">
      <x:c r="A31" s="78" t="str">
        <x:v>sea-match1</x:v>
      </x:c>
      <x:c r="B31" s="78" t="str">
        <x:v>Seattle</x:v>
      </x:c>
      <x:c r="C31" s="78" t="str">
        <x:v>Egypt vs Belgium</x:v>
      </x:c>
      <x:c r="D31" s="78" t="str">
        <x:v>Match-day Link boardings</x:v>
      </x:c>
      <x:c r="E31" s="93" t="n">
        <x:v>221000</x:v>
      </x:c>
      <x:c r="F31" s="78" t="str">
        <x:v>boardings</x:v>
      </x:c>
      <x:c r="G31" s="78" t="str">
        <x:v>preliminary</x:v>
      </x:c>
      <x:c r="H31" s="78" t="str">
        <x:v>observed_preliminary</x:v>
      </x:c>
      <x:c r="I31" s="78" t="str">
        <x:v>Match-day demand</x:v>
      </x:c>
      <x:c r="J31" s="78" t="str">
        <x:v>soundtransit-post-2026</x:v>
      </x:c>
      <x:c r="K31" s="78" t="str">
        <x:v>https://www.soundtransit.org/get-to-know-us/news-events/news-releases/sound-transit-set-all-time-records-daily-monthly-ridership</x:v>
      </x:c>
    </x:row>
    <x:row r="32">
      <x:c r="A32" s="78" t="str">
        <x:v>sea-match2</x:v>
      </x:c>
      <x:c r="B32" s="78" t="str">
        <x:v>Seattle</x:v>
      </x:c>
      <x:c r="C32" s="78" t="str">
        <x:v>Australia vs United States</x:v>
      </x:c>
      <x:c r="D32" s="78" t="str">
        <x:v>Match-day Link boardings</x:v>
      </x:c>
      <x:c r="E32" s="93" t="n">
        <x:v>297000</x:v>
      </x:c>
      <x:c r="F32" s="78" t="str">
        <x:v>boardings</x:v>
      </x:c>
      <x:c r="G32" s="78" t="str">
        <x:v>preliminary</x:v>
      </x:c>
      <x:c r="H32" s="78" t="str">
        <x:v>observed_preliminary</x:v>
      </x:c>
      <x:c r="I32" s="78" t="str">
        <x:v>Match-day demand</x:v>
      </x:c>
      <x:c r="J32" s="78" t="str">
        <x:v>soundtransit-post-2026</x:v>
      </x:c>
      <x:c r="K32" s="78" t="str">
        <x:v>https://www.soundtransit.org/get-to-know-us/news-events/news-releases/sound-transit-set-all-time-records-daily-monthly-ridership</x:v>
      </x:c>
    </x:row>
    <x:row r="33">
      <x:c r="A33" s="78" t="str">
        <x:v>sea-match3</x:v>
      </x:c>
      <x:c r="B33" s="78" t="str">
        <x:v>Seattle</x:v>
      </x:c>
      <x:c r="C33" s="78" t="str">
        <x:v>Bosnia-Herzegovina vs Qatar</x:v>
      </x:c>
      <x:c r="D33" s="78" t="str">
        <x:v>Match-day Link boardings</x:v>
      </x:c>
      <x:c r="E33" s="93" t="n">
        <x:v>237000</x:v>
      </x:c>
      <x:c r="F33" s="78" t="str">
        <x:v>boardings</x:v>
      </x:c>
      <x:c r="G33" s="78" t="str">
        <x:v>preliminary</x:v>
      </x:c>
      <x:c r="H33" s="78" t="str">
        <x:v>observed_preliminary</x:v>
      </x:c>
      <x:c r="I33" s="78" t="str">
        <x:v>Match-day demand</x:v>
      </x:c>
      <x:c r="J33" s="78" t="str">
        <x:v>soundtransit-post-2026</x:v>
      </x:c>
      <x:c r="K33" s="78" t="str">
        <x:v>https://www.soundtransit.org/get-to-know-us/news-events/news-releases/sound-transit-set-all-time-records-daily-monthly-ridership</x:v>
      </x:c>
    </x:row>
    <x:row r="34">
      <x:c r="A34" s="78" t="str">
        <x:v>sea-match4</x:v>
      </x:c>
      <x:c r="B34" s="78" t="str">
        <x:v>Seattle</x:v>
      </x:c>
      <x:c r="C34" s="78" t="str">
        <x:v>Egypt vs Iran</x:v>
      </x:c>
      <x:c r="D34" s="78" t="str">
        <x:v>Match-day Link boardings</x:v>
      </x:c>
      <x:c r="E34" s="93" t="n">
        <x:v>234000</x:v>
      </x:c>
      <x:c r="F34" s="78" t="str">
        <x:v>boardings</x:v>
      </x:c>
      <x:c r="G34" s="78" t="str">
        <x:v>preliminary</x:v>
      </x:c>
      <x:c r="H34" s="78" t="str">
        <x:v>observed_preliminary</x:v>
      </x:c>
      <x:c r="I34" s="78" t="str">
        <x:v>Match-day demand</x:v>
      </x:c>
      <x:c r="J34" s="78" t="str">
        <x:v>soundtransit-post-2026</x:v>
      </x:c>
      <x:c r="K34" s="78" t="str">
        <x:v>https://www.soundtransit.org/get-to-know-us/news-events/news-releases/sound-transit-set-all-time-records-daily-monthly-ridership</x:v>
      </x:c>
    </x:row>
    <x:row r="35">
      <x:c r="A35" s="78" t="str">
        <x:v>sea-match5</x:v>
      </x:c>
      <x:c r="B35" s="78" t="str">
        <x:v>Seattle</x:v>
      </x:c>
      <x:c r="C35" s="78" t="str">
        <x:v>Belgium vs Senegal</x:v>
      </x:c>
      <x:c r="D35" s="78" t="str">
        <x:v>Match-day Link boardings</x:v>
      </x:c>
      <x:c r="E35" s="93" t="n">
        <x:v>246000</x:v>
      </x:c>
      <x:c r="F35" s="78" t="str">
        <x:v>boardings</x:v>
      </x:c>
      <x:c r="G35" s="78" t="str">
        <x:v>preliminary</x:v>
      </x:c>
      <x:c r="H35" s="78" t="str">
        <x:v>observed_preliminary</x:v>
      </x:c>
      <x:c r="I35" s="78" t="str">
        <x:v>Match-day demand</x:v>
      </x:c>
      <x:c r="J35" s="78" t="str">
        <x:v>soundtransit-post-2026</x:v>
      </x:c>
      <x:c r="K35" s="78" t="str">
        <x:v>https://www.soundtransit.org/get-to-know-us/news-events/news-releases/sound-transit-set-all-time-records-daily-monthly-ridership</x:v>
      </x:c>
    </x:row>
    <x:row r="36">
      <x:c r="A36" s="78" t="str">
        <x:v>sea-match6</x:v>
      </x:c>
      <x:c r="B36" s="78" t="str">
        <x:v>Seattle</x:v>
      </x:c>
      <x:c r="C36" s="78" t="str">
        <x:v>United States vs Belgium</x:v>
      </x:c>
      <x:c r="D36" s="78" t="str">
        <x:v>Match-day Link boardings</x:v>
      </x:c>
      <x:c r="E36" s="93" t="n">
        <x:v>309000</x:v>
      </x:c>
      <x:c r="F36" s="78" t="str">
        <x:v>boardings</x:v>
      </x:c>
      <x:c r="G36" s="78" t="str">
        <x:v>preliminary</x:v>
      </x:c>
      <x:c r="H36" s="78" t="str">
        <x:v>observed_preliminary</x:v>
      </x:c>
      <x:c r="I36" s="78" t="str">
        <x:v>Peak match-day demand</x:v>
      </x:c>
      <x:c r="J36" s="78" t="str">
        <x:v>soundtransit-post-2026</x:v>
      </x:c>
      <x:c r="K36" s="78" t="str">
        <x:v>https://www.soundtransit.org/get-to-know-us/news-events/news-releases/sound-transit-set-all-time-records-daily-monthly-ridership</x:v>
      </x:c>
    </x:row>
    <x:row r="37">
      <x:c r="A37" s="78" t="str">
        <x:v>sea-vehicles</x:v>
      </x:c>
      <x:c r="B37" s="78" t="str">
        <x:v>Seattle</x:v>
      </x:c>
      <x:c r="C37" s="78" t="str">
        <x:v>Match days</x:v>
      </x:c>
      <x:c r="D37" s="78" t="str">
        <x:v>Light-rail vehicles deployed</x:v>
      </x:c>
      <x:c r="E37" s="93" t="n">
        <x:v>174</x:v>
      </x:c>
      <x:c r="F37" s="78" t="str">
        <x:v>vehicles</x:v>
      </x:c>
      <x:c r="G37" s="78" t="str">
        <x:v>reported</x:v>
      </x:c>
      <x:c r="H37" s="78" t="str">
        <x:v>observed_final</x:v>
      </x:c>
      <x:c r="I37" s="78" t="str">
        <x:v>Service capacity</x:v>
      </x:c>
      <x:c r="J37" s="78" t="str">
        <x:v>soundtransit-post-2026</x:v>
      </x:c>
      <x:c r="K37" s="78" t="str">
        <x:v>https://www.soundtransit.org/get-to-know-us/news-events/news-releases/sound-transit-set-all-time-records-daily-monthly-ridership</x:v>
      </x:c>
    </x:row>
    <x:row r="38">
      <x:c r="A38" s="78" t="str">
        <x:v>sea-trains</x:v>
      </x:c>
      <x:c r="B38" s="78" t="str">
        <x:v>Seattle</x:v>
      </x:c>
      <x:c r="C38" s="78" t="str">
        <x:v>Match days</x:v>
      </x:c>
      <x:c r="D38" s="78" t="str">
        <x:v>Trains in service</x:v>
      </x:c>
      <x:c r="E38" s="93" t="n">
        <x:v>46</x:v>
      </x:c>
      <x:c r="F38" s="78" t="str">
        <x:v>trains</x:v>
      </x:c>
      <x:c r="G38" s="78" t="str">
        <x:v>reported</x:v>
      </x:c>
      <x:c r="H38" s="78" t="str">
        <x:v>observed_final</x:v>
      </x:c>
      <x:c r="I38" s="78" t="str">
        <x:v>Service capacity</x:v>
      </x:c>
      <x:c r="J38" s="78" t="str">
        <x:v>soundtransit-post-2026</x:v>
      </x:c>
      <x:c r="K38" s="78" t="str">
        <x:v>https://www.soundtransit.org/get-to-know-us/news-events/news-releases/sound-transit-set-all-time-records-daily-monthly-ridership</x:v>
      </x:c>
    </x:row>
    <x:row r="39">
      <x:c r="A39" s="78" t="str">
        <x:v>nynj-total</x:v>
      </x:c>
      <x:c r="B39" s="78" t="str">
        <x:v>New York/New Jersey</x:v>
      </x:c>
      <x:c r="C39" s="78" t="str">
        <x:v>Eight matches</x:v>
      </x:c>
      <x:c r="D39" s="78" t="str">
        <x:v>Event-related NJ Transit passengers</x:v>
      </x:c>
      <x:c r="E39" s="93" t="n">
        <x:v>370000</x:v>
      </x:c>
      <x:c r="F39" s="78" t="str">
        <x:v>passengers</x:v>
      </x:c>
      <x:c r="G39" s="78" t="str">
        <x:v>more than</x:v>
      </x:c>
      <x:c r="H39" s="78" t="str">
        <x:v>observed_final</x:v>
      </x:c>
      <x:c r="I39" s="78" t="str">
        <x:v>Event transit demand</x:v>
      </x:c>
      <x:c r="J39" s="78" t="str">
        <x:v>njt-aar-2026</x:v>
      </x:c>
      <x:c r="K39" s="78" t="str">
        <x:v>https://www.njtransit.com/press-releases/new-jersey-interagency-transportation-after-action-report-aar-njny-stadium-fifa</x:v>
      </x:c>
    </x:row>
    <x:row r="40">
      <x:c r="A40" s="78" t="str">
        <x:v>nynj-throughput</x:v>
      </x:c>
      <x:c r="B40" s="78" t="str">
        <x:v>New York/New Jersey</x:v>
      </x:c>
      <x:c r="C40" s="78" t="str">
        <x:v>Tournament</x:v>
      </x:c>
      <x:c r="D40" s="78" t="str">
        <x:v>Average movement rate</x:v>
      </x:c>
      <x:c r="E40" s="93" t="n">
        <x:v>24000</x:v>
      </x:c>
      <x:c r="F40" s="78" t="str">
        <x:v>people/hour</x:v>
      </x:c>
      <x:c r="G40" s="78" t="str">
        <x:v>reported average</x:v>
      </x:c>
      <x:c r="H40" s="78" t="str">
        <x:v>observed_final</x:v>
      </x:c>
      <x:c r="I40" s="78" t="str">
        <x:v>Throughput benchmark</x:v>
      </x:c>
      <x:c r="J40" s="78" t="str">
        <x:v>njt-aar-2026</x:v>
      </x:c>
      <x:c r="K40" s="78" t="str">
        <x:v>https://www.njtransit.com/press-releases/new-jersey-interagency-transportation-after-action-report-aar-njny-stadium-fifa</x:v>
      </x:c>
    </x:row>
    <x:row r="41">
      <x:c r="A41" s="78" t="str">
        <x:v>nynj-triptime</x:v>
      </x:c>
      <x:c r="B41" s="78" t="str">
        <x:v>New York/New Jersey</x:v>
      </x:c>
      <x:c r="C41" s="78" t="str">
        <x:v>Tournament</x:v>
      </x:c>
      <x:c r="D41" s="78" t="str">
        <x:v>New York Penn-to-stadium trip</x:v>
      </x:c>
      <x:c r="E41" s="93" t="n">
        <x:v>35</x:v>
      </x:c>
      <x:c r="F41" s="78" t="str">
        <x:v>minutes</x:v>
      </x:c>
      <x:c r="G41" s="78" t="str">
        <x:v>average</x:v>
      </x:c>
      <x:c r="H41" s="78" t="str">
        <x:v>observed_final</x:v>
      </x:c>
      <x:c r="I41" s="78" t="str">
        <x:v>Travel-time benchmark</x:v>
      </x:c>
      <x:c r="J41" s="78" t="str">
        <x:v>njt-aar-2026</x:v>
      </x:c>
      <x:c r="K41" s="78" t="str">
        <x:v>https://www.njtransit.com/press-releases/new-jersey-interagency-transportation-after-action-report-aar-njny-stadium-fifa</x:v>
      </x:c>
    </x:row>
    <x:row r="42">
      <x:c r="A42" s="78" t="str">
        <x:v>nynj-ped-overshoot</x:v>
      </x:c>
      <x:c r="B42" s="78" t="str">
        <x:v>New York/New Jersey</x:v>
      </x:c>
      <x:c r="C42" s="78" t="str">
        <x:v>Tournament</x:v>
      </x:c>
      <x:c r="D42" s="78" t="str">
        <x:v>Pedestrian volume above projection</x:v>
      </x:c>
      <x:c r="E42" s="94" t="n">
        <x:v>0.8</x:v>
      </x:c>
      <x:c r="F42" s="78" t="str">
        <x:v>share</x:v>
      </x:c>
      <x:c r="G42" s="78" t="str">
        <x:v>more than</x:v>
      </x:c>
      <x:c r="H42" s="78" t="str">
        <x:v>observed_final</x:v>
      </x:c>
      <x:c r="I42" s="78" t="str">
        <x:v>Pedestrian intervention calibration</x:v>
      </x:c>
      <x:c r="J42" s="78" t="str">
        <x:v>njt-aar-2026</x:v>
      </x:c>
      <x:c r="K42" s="78" t="str">
        <x:v>https://www.njtransit.com/press-releases/new-jersey-interagency-transportation-after-action-report-aar-njny-stadium-fifa</x:v>
      </x:c>
    </x:row>
    <x:row r="43">
      <x:c r="A43" s="78" t="str">
        <x:v>nynj-tnc-overshoot</x:v>
      </x:c>
      <x:c r="B43" s="78" t="str">
        <x:v>New York/New Jersey</x:v>
      </x:c>
      <x:c r="C43" s="78" t="str">
        <x:v>Tournament egress</x:v>
      </x:c>
      <x:c r="D43" s="78" t="str">
        <x:v>Rideshare demand above projection</x:v>
      </x:c>
      <x:c r="E43" s="94" t="n">
        <x:v>0.5</x:v>
      </x:c>
      <x:c r="F43" s="78" t="str">
        <x:v>share</x:v>
      </x:c>
      <x:c r="G43" s="78" t="str">
        <x:v>approximately</x:v>
      </x:c>
      <x:c r="H43" s="78" t="str">
        <x:v>observed_final</x:v>
      </x:c>
      <x:c r="I43" s="78" t="str">
        <x:v>TNC-hub calibration</x:v>
      </x:c>
      <x:c r="J43" s="78" t="str">
        <x:v>njt-aar-2026</x:v>
      </x:c>
      <x:c r="K43" s="78" t="str">
        <x:v>https://www.njtransit.com/press-releases/new-jersey-interagency-transportation-after-action-report-aar-njny-stadium-fifa</x:v>
      </x:c>
    </x:row>
    <x:row r="44">
      <x:c r="A44" s="78" t="str">
        <x:v>nynj-ambassadors</x:v>
      </x:c>
      <x:c r="B44" s="78" t="str">
        <x:v>New York/New Jersey</x:v>
      </x:c>
      <x:c r="C44" s="78" t="str">
        <x:v>Tournament</x:v>
      </x:c>
      <x:c r="D44" s="78" t="str">
        <x:v>Transportation ambassadors</x:v>
      </x:c>
      <x:c r="E44" s="93" t="n">
        <x:v>700</x:v>
      </x:c>
      <x:c r="F44" s="78" t="str">
        <x:v>people</x:v>
      </x:c>
      <x:c r="G44" s="78" t="str">
        <x:v>more than</x:v>
      </x:c>
      <x:c r="H44" s="78" t="str">
        <x:v>observed_final</x:v>
      </x:c>
      <x:c r="I44" s="78" t="str">
        <x:v>Wayfinding scale</x:v>
      </x:c>
      <x:c r="J44" s="78" t="str">
        <x:v>njt-aar-2026</x:v>
      </x:c>
      <x:c r="K44" s="78" t="str">
        <x:v>https://www.njtransit.com/press-releases/new-jersey-interagency-transportation-after-action-report-aar-njny-stadium-fifa</x:v>
      </x:c>
    </x:row>
    <x:row r="45">
      <x:c r="A45" s="78" t="str">
        <x:v>nynj-languages</x:v>
      </x:c>
      <x:c r="B45" s="78" t="str">
        <x:v>New York/New Jersey</x:v>
      </x:c>
      <x:c r="C45" s="78" t="str">
        <x:v>Tournament</x:v>
      </x:c>
      <x:c r="D45" s="78" t="str">
        <x:v>Ambassador languages</x:v>
      </x:c>
      <x:c r="E45" s="93" t="n">
        <x:v>40</x:v>
      </x:c>
      <x:c r="F45" s="78" t="str">
        <x:v>languages</x:v>
      </x:c>
      <x:c r="G45" s="78" t="str">
        <x:v>more than</x:v>
      </x:c>
      <x:c r="H45" s="78" t="str">
        <x:v>observed_final</x:v>
      </x:c>
      <x:c r="I45" s="78" t="str">
        <x:v>Multilingual design</x:v>
      </x:c>
      <x:c r="J45" s="78" t="str">
        <x:v>njt-aar-2026</x:v>
      </x:c>
      <x:c r="K45" s="78" t="str">
        <x:v>https://www.njtransit.com/press-releases/new-jersey-interagency-transportation-after-action-report-aar-njny-stadium-fifa</x:v>
      </x:c>
    </x:row>
    <x:row r="46">
      <x:c r="A46" s="78" t="str">
        <x:v>nynj-shifts</x:v>
      </x:c>
      <x:c r="B46" s="78" t="str">
        <x:v>New York/New Jersey</x:v>
      </x:c>
      <x:c r="C46" s="78" t="str">
        <x:v>Tournament</x:v>
      </x:c>
      <x:c r="D46" s="78" t="str">
        <x:v>Ambassador shifts</x:v>
      </x:c>
      <x:c r="E46" s="93" t="n">
        <x:v>4000</x:v>
      </x:c>
      <x:c r="F46" s="78" t="str">
        <x:v>shifts</x:v>
      </x:c>
      <x:c r="G46" s="78" t="str">
        <x:v>more than</x:v>
      </x:c>
      <x:c r="H46" s="78" t="str">
        <x:v>observed_final</x:v>
      </x:c>
      <x:c r="I46" s="78" t="str">
        <x:v>Operating effort</x:v>
      </x:c>
      <x:c r="J46" s="78" t="str">
        <x:v>njt-aar-2026</x:v>
      </x:c>
      <x:c r="K46" s="78" t="str">
        <x:v>https://www.njtransit.com/press-releases/new-jersey-interagency-transportation-after-action-report-aar-njny-stadium-fifa</x:v>
      </x:c>
    </x:row>
    <x:row r="47">
      <x:c r="A47" s="78" t="str">
        <x:v>nynj-parking</x:v>
      </x:c>
      <x:c r="B47" s="78" t="str">
        <x:v>New York/New Jersey</x:v>
      </x:c>
      <x:c r="C47" s="78" t="str">
        <x:v>Venue + American Dream</x:v>
      </x:c>
      <x:c r="D47" s="78" t="str">
        <x:v>Combined parking spaces</x:v>
      </x:c>
      <x:c r="E47" s="93" t="n">
        <x:v>28000</x:v>
      </x:c>
      <x:c r="F47" s="78" t="str">
        <x:v>spaces</x:v>
      </x:c>
      <x:c r="G47" s="78" t="str">
        <x:v>reported</x:v>
      </x:c>
      <x:c r="H47" s="78" t="str">
        <x:v>observed_final</x:v>
      </x:c>
      <x:c r="I47" s="78" t="str">
        <x:v>Auto-access baseline</x:v>
      </x:c>
      <x:c r="J47" s="78" t="str">
        <x:v>njt-aar-2026</x:v>
      </x:c>
      <x:c r="K47" s="78" t="str">
        <x:v>https://www.njtransit.com/press-releases/new-jersey-interagency-transportation-after-action-report-aar-njny-stadium-fifa</x:v>
      </x:c>
    </x:row>
    <x:row r="48">
      <x:c r="A48" s="78" t="str">
        <x:v>phi-plan-riders</x:v>
      </x:c>
      <x:c r="B48" s="78" t="str">
        <x:v>Philadelphia</x:v>
      </x:c>
      <x:c r="C48" s="78" t="str">
        <x:v>Per match</x:v>
      </x:c>
      <x:c r="D48" s="78" t="str">
        <x:v>Planned SEPTA riders</x:v>
      </x:c>
      <x:c r="E48" s="93" t="n">
        <x:v>31000</x:v>
      </x:c>
      <x:c r="F48" s="78" t="str">
        <x:v>riders</x:v>
      </x:c>
      <x:c r="G48" s="78" t="str">
        <x:v>approximately</x:v>
      </x:c>
      <x:c r="H48" s="78" t="str">
        <x:v>official_plan</x:v>
      </x:c>
      <x:c r="I48" s="78" t="str">
        <x:v>Provisional demand constraint</x:v>
      </x:c>
      <x:c r="J48" s="78" t="str">
        <x:v>septa-plan-2026</x:v>
      </x:c>
      <x:c r="K48" s="78" t="str">
        <x:v>https://wwww.septa.org/news/infrastructure-improvements-for-fifa/</x:v>
      </x:c>
    </x:row>
    <x:row r="49">
      <x:c r="A49" s="78" t="str">
        <x:v>phi-plan-capacity</x:v>
      </x:c>
      <x:c r="B49" s="78" t="str">
        <x:v>Philadelphia</x:v>
      </x:c>
      <x:c r="C49" s="78" t="str">
        <x:v>Match egress</x:v>
      </x:c>
      <x:c r="D49" s="78" t="str">
        <x:v>B Line planned capacity</x:v>
      </x:c>
      <x:c r="E49" s="93" t="n">
        <x:v>15000</x:v>
      </x:c>
      <x:c r="F49" s="78" t="str">
        <x:v>people/hour</x:v>
      </x:c>
      <x:c r="G49" s="78" t="str">
        <x:v>approximately</x:v>
      </x:c>
      <x:c r="H49" s="78" t="str">
        <x:v>official_plan</x:v>
      </x:c>
      <x:c r="I49" s="78" t="str">
        <x:v>Provisional throughput</x:v>
      </x:c>
      <x:c r="J49" s="78" t="str">
        <x:v>septa-plan-2026</x:v>
      </x:c>
      <x:c r="K49" s="78" t="str">
        <x:v>https://wwww.septa.org/news/infrastructure-improvements-for-fifa/</x:v>
      </x:c>
    </x:row>
    <x:row r="50">
      <x:c r="A50" s="78" t="str">
        <x:v>phi-ambassadors</x:v>
      </x:c>
      <x:c r="B50" s="78" t="str">
        <x:v>Philadelphia</x:v>
      </x:c>
      <x:c r="C50" s="78" t="str">
        <x:v>Tournament</x:v>
      </x:c>
      <x:c r="D50" s="78" t="str">
        <x:v>Planned ambassadors</x:v>
      </x:c>
      <x:c r="E50" s="93" t="n">
        <x:v>700</x:v>
      </x:c>
      <x:c r="F50" s="78" t="str">
        <x:v>people</x:v>
      </x:c>
      <x:c r="G50" s="78" t="str">
        <x:v>more than</x:v>
      </x:c>
      <x:c r="H50" s="78" t="str">
        <x:v>official_plan</x:v>
      </x:c>
      <x:c r="I50" s="78" t="str">
        <x:v>Wayfinding staffing</x:v>
      </x:c>
      <x:c r="J50" s="78" t="str">
        <x:v>septa-plan-2026</x:v>
      </x:c>
      <x:c r="K50" s="78" t="str">
        <x:v>https://wwww.septa.org/news/infrastructure-improvements-for-fifa/</x:v>
      </x:c>
    </x:row>
    <x:row r="51">
      <x:c r="A51" s="78" t="str">
        <x:v>mia-hubs</x:v>
      </x:c>
      <x:c r="B51" s="78" t="str">
        <x:v>Miami</x:v>
      </x:c>
      <x:c r="C51" s="78" t="str">
        <x:v>Match days</x:v>
      </x:c>
      <x:c r="D51" s="78" t="str">
        <x:v>Official shuttle hubs</x:v>
      </x:c>
      <x:c r="E51" s="93" t="n">
        <x:v>4</x:v>
      </x:c>
      <x:c r="F51" s="78" t="str">
        <x:v>hubs</x:v>
      </x:c>
      <x:c r="G51" s="78" t="str">
        <x:v>confirmed</x:v>
      </x:c>
      <x:c r="H51" s="78" t="str">
        <x:v>official_plan</x:v>
      </x:c>
      <x:c r="I51" s="78" t="str">
        <x:v>Hub network</x:v>
      </x:c>
      <x:c r="J51" s="78" t="str">
        <x:v>miami-plan-2026</x:v>
      </x:c>
      <x:c r="K51" s="78" t="str">
        <x:v>https://www.miamidade.gov/global/release.page?Mduid_release=rel178040771715787</x:v>
      </x:c>
    </x:row>
    <x:row r="52">
      <x:c r="A52" s="78" t="str">
        <x:v>mia-hub-open</x:v>
      </x:c>
      <x:c r="B52" s="78" t="str">
        <x:v>Miami</x:v>
      </x:c>
      <x:c r="C52" s="78" t="str">
        <x:v>Match days</x:v>
      </x:c>
      <x:c r="D52" s="78" t="str">
        <x:v>Hub opening before kickoff</x:v>
      </x:c>
      <x:c r="E52" s="93" t="n">
        <x:v>5</x:v>
      </x:c>
      <x:c r="F52" s="78" t="str">
        <x:v>hours</x:v>
      </x:c>
      <x:c r="G52" s="78" t="str">
        <x:v>up to</x:v>
      </x:c>
      <x:c r="H52" s="78" t="str">
        <x:v>official_plan</x:v>
      </x:c>
      <x:c r="I52" s="78" t="str">
        <x:v>Arrival staging</x:v>
      </x:c>
      <x:c r="J52" s="78" t="str">
        <x:v>miami-plan-2026</x:v>
      </x:c>
      <x:c r="K52" s="78" t="str">
        <x:v>https://www.miamidade.gov/global/release.page?Mduid_release=rel178040771715787</x:v>
      </x:c>
    </x:row>
    <x:row r="53">
      <x:c r="A53" s="78" t="str">
        <x:v>mia-shuttle-start</x:v>
      </x:c>
      <x:c r="B53" s="78" t="str">
        <x:v>Miami</x:v>
      </x:c>
      <x:c r="C53" s="78" t="str">
        <x:v>Match days</x:v>
      </x:c>
      <x:c r="D53" s="78" t="str">
        <x:v>Shuttle boarding before kickoff</x:v>
      </x:c>
      <x:c r="E53" s="93" t="n">
        <x:v>4</x:v>
      </x:c>
      <x:c r="F53" s="78" t="str">
        <x:v>hours</x:v>
      </x:c>
      <x:c r="G53" s="78" t="str">
        <x:v>approximately</x:v>
      </x:c>
      <x:c r="H53" s="78" t="str">
        <x:v>official_plan</x:v>
      </x:c>
      <x:c r="I53" s="78" t="str">
        <x:v>Dispatch window</x:v>
      </x:c>
      <x:c r="J53" s="78" t="str">
        <x:v>miami-plan-2026</x:v>
      </x:c>
      <x:c r="K53" s="78" t="str">
        <x:v>https://www.miamidade.gov/global/release.page?Mduid_release=rel178040771715787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b8fe6d8a1be94af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5" hidden="0" customWidth="1"/>
    <x:col min="3" max="3" width="10" hidden="0" customWidth="1"/>
    <x:col min="4" max="4" width="18" hidden="0" customWidth="1"/>
    <x:col min="5" max="5" width="20" hidden="0" customWidth="1"/>
    <x:col min="6" max="6" width="18" hidden="0" customWidth="1"/>
    <x:col min="7" max="7" width="40" hidden="0" customWidth="1"/>
    <x:col min="8" max="8" width="18" hidden="0" customWidth="1"/>
    <x:col min="9" max="9" width="18" hidden="0" customWidth="1"/>
    <x:col min="10" max="10" width="38" hidden="0" customWidth="1"/>
    <x:col min="11" max="11" width="42" hidden="0" customWidth="1"/>
    <x:col min="12" max="12" width="20" hidden="0" customWidth="1"/>
    <x:col min="13" max="13" width="22" hidden="0" customWidth="1"/>
  </x:cols>
  <x:sheetData>
    <x:row r="1" ht="30" customHeight="1">
      <x:c r="A1" s="129" t="str">
        <x:v>Host-Region Transportation Profiles</x:v>
      </x:c>
    </x:row>
    <x:row r="2" ht="38" customHeight="1">
      <x:c r="A2" s="73" t="str">
        <x:v>Demand values marked capacity_proxy are demonstration proxies. Funding per attendee is derived from the official FTA allocation divided by the displayed tournament demand.</x:v>
      </x:c>
    </x:row>
    <x:row r="4">
      <x:c r="A4" s="76" t="str">
        <x:v>city_id</x:v>
      </x:c>
      <x:c r="B4" s="76" t="str">
        <x:v>host_region</x:v>
      </x:c>
      <x:c r="C4" s="76" t="str">
        <x:v>matches</x:v>
      </x:c>
      <x:c r="D4" s="76" t="str">
        <x:v>stadium_capacity</x:v>
      </x:c>
      <x:c r="E4" s="76" t="str">
        <x:v>tournament_demand</x:v>
      </x:c>
      <x:c r="F4" s="76" t="str">
        <x:v>demand_class</x:v>
      </x:c>
      <x:c r="G4" s="76" t="str">
        <x:v>venue_access_type</x:v>
      </x:c>
      <x:c r="H4" s="76" t="str">
        <x:v>adjacent_rail_stops</x:v>
      </x:c>
      <x:c r="I4" s="76" t="str">
        <x:v>air_gateways</x:v>
      </x:c>
      <x:c r="J4" s="76" t="str">
        <x:v>transfer_structure</x:v>
      </x:c>
      <x:c r="K4" s="76" t="str">
        <x:v>dominant_bottleneck</x:v>
      </x:c>
      <x:c r="L4" s="76" t="str">
        <x:v>fta_usd_per_attendee</x:v>
      </x:c>
      <x:c r="M4" s="76" t="str">
        <x:v>funding_source_id</x:v>
      </x:c>
    </x:row>
    <x:row r="5">
      <x:c r="A5" s="78" t="str">
        <x:v>atlanta</x:v>
      </x:c>
      <x:c r="B5" s="78" t="str">
        <x:v>Atlanta</x:v>
      </x:c>
      <x:c r="C5" s="78" t="n">
        <x:v>8</x:v>
      </x:c>
      <x:c r="D5" s="85" t="n">
        <x:v>68239</x:v>
      </x:c>
      <x:c r="E5" s="85" t="n">
        <x:v>543182</x:v>
      </x:c>
      <x:c r="F5" s="78" t="str">
        <x:v>capacity_proxy</x:v>
      </x:c>
      <x:c r="G5" s="78" t="str">
        <x:v>Downtown; two nearby rail stations</x:v>
      </x:c>
      <x:c r="H5" s="78" t="n">
        <x:v>2</x:v>
      </x:c>
      <x:c r="I5" s="78" t="str">
        <x:v>ATL</x:v>
      </x:c>
      <x:c r="J5" s="78" t="str">
        <x:v>Airport rail spine; downtown station distribution</x:v>
      </x:c>
      <x:c r="K5" s="78" t="str">
        <x:v>Station/platform circulation and wayfinding</x:v>
      </x:c>
      <x:c r="L5" s="95" t="n">
        <x:f>'Funding'!C5/E5</x:f>
        <x:v>17.288897643883633</x:v>
      </x:c>
      <x:c r="M5" s="78" t="str">
        <x:v>fta-world-cup-2026</x:v>
      </x:c>
    </x:row>
    <x:row r="6">
      <x:c r="A6" s="78" t="str">
        <x:v>boston</x:v>
      </x:c>
      <x:c r="B6" s="78" t="str">
        <x:v>Boston</x:v>
      </x:c>
      <x:c r="C6" s="78" t="n">
        <x:v>7</x:v>
      </x:c>
      <x:c r="D6" s="85" t="n">
        <x:v>64146</x:v>
      </x:c>
      <x:c r="E6" s="85" t="n">
        <x:v>447283</x:v>
      </x:c>
      <x:c r="F6" s="78" t="str">
        <x:v>observed_final</x:v>
      </x:c>
      <x:c r="G6" s="78" t="str">
        <x:v>Remote Foxborough venue; event commuter rail</x:v>
      </x:c>
      <x:c r="H6" s="78" t="n">
        <x:v>1</x:v>
      </x:c>
      <x:c r="I6" s="78" t="str">
        <x:v>BOS; PVD</x:v>
      </x:c>
      <x:c r="J6" s="78" t="str">
        <x:v>Long radial rail/coach trip</x:v>
      </x:c>
      <x:c r="K6" s="78" t="str">
        <x:v>Rail timetable, queues and incident contingency</x:v>
      </x:c>
      <x:c r="L6" s="95" t="n">
        <x:f>'Funding'!C6/E6</x:f>
        <x:v>19.387273828873443</x:v>
      </x:c>
      <x:c r="M6" s="78" t="str">
        <x:v>fta-world-cup-2026</x:v>
      </x:c>
    </x:row>
    <x:row r="7">
      <x:c r="A7" s="78" t="str">
        <x:v>dallas</x:v>
      </x:c>
      <x:c r="B7" s="78" t="str">
        <x:v>Dallas</x:v>
      </x:c>
      <x:c r="C7" s="78" t="n">
        <x:v>9</x:v>
      </x:c>
      <x:c r="D7" s="85" t="n">
        <x:v>70649</x:v>
      </x:c>
      <x:c r="E7" s="85" t="n">
        <x:v>632662</x:v>
      </x:c>
      <x:c r="F7" s="78" t="str">
        <x:v>capacity_proxy</x:v>
      </x:c>
      <x:c r="G7" s="78" t="str">
        <x:v>Arlington venue; no direct regional rail</x:v>
      </x:c>
      <x:c r="H7" s="78" t="n">
        <x:v>0</x:v>
      </x:c>
      <x:c r="I7" s="78" t="str">
        <x:v>DFW; DAL</x:v>
      </x:c>
      <x:c r="J7" s="78" t="str">
        <x:v>Regional rail-to-shuttle transfer</x:v>
      </x:c>
      <x:c r="K7" s="78" t="str">
        <x:v>Last-mile roadway and curb capacity</x:v>
      </x:c>
      <x:c r="L7" s="95" t="n">
        <x:f>'Funding'!C7/E7</x:f>
        <x:v>15.858447322582991</x:v>
      </x:c>
      <x:c r="M7" s="78" t="str">
        <x:v>fta-world-cup-2026</x:v>
      </x:c>
    </x:row>
    <x:row r="8">
      <x:c r="A8" s="78" t="str">
        <x:v>houston</x:v>
      </x:c>
      <x:c r="B8" s="78" t="str">
        <x:v>Houston</x:v>
      </x:c>
      <x:c r="C8" s="78" t="n">
        <x:v>7</x:v>
      </x:c>
      <x:c r="D8" s="85" t="n">
        <x:v>68777</x:v>
      </x:c>
      <x:c r="E8" s="85" t="n">
        <x:v>479032</x:v>
      </x:c>
      <x:c r="F8" s="78" t="str">
        <x:v>capacity_proxy</x:v>
      </x:c>
      <x:c r="G8" s="78" t="str">
        <x:v>Urban stadium on METRORail Red Line</x:v>
      </x:c>
      <x:c r="H8" s="78" t="n">
        <x:v>1</x:v>
      </x:c>
      <x:c r="I8" s="78" t="str">
        <x:v>IAH; HOU</x:v>
      </x:c>
      <x:c r="J8" s="78" t="str">
        <x:v>Rail plus freeway/arterial access</x:v>
      </x:c>
      <x:c r="K8" s="78" t="str">
        <x:v>Rail throughput and road conflicts</x:v>
      </x:c>
      <x:c r="L8" s="95" t="n">
        <x:f>'Funding'!C8/E8</x:f>
        <x:v>18.980750764040817</x:v>
      </x:c>
      <x:c r="M8" s="78" t="str">
        <x:v>fta-world-cup-2026</x:v>
      </x:c>
    </x:row>
    <x:row r="9">
      <x:c r="A9" s="78" t="str">
        <x:v>kansas-city</x:v>
      </x:c>
      <x:c r="B9" s="78" t="str">
        <x:v>Kansas City</x:v>
      </x:c>
      <x:c r="C9" s="78" t="n">
        <x:v>6</x:v>
      </x:c>
      <x:c r="D9" s="85" t="n">
        <x:v>69045</x:v>
      </x:c>
      <x:c r="E9" s="85" t="n">
        <x:v>412199</x:v>
      </x:c>
      <x:c r="F9" s="78" t="str">
        <x:v>capacity_proxy</x:v>
      </x:c>
      <x:c r="G9" s="78" t="str">
        <x:v>Truman Sports Complex; no rail</x:v>
      </x:c>
      <x:c r="H9" s="78" t="n">
        <x:v>0</x:v>
      </x:c>
      <x:c r="I9" s="78" t="str">
        <x:v>MCI</x:v>
      </x:c>
      <x:c r="J9" s="78" t="str">
        <x:v>I-70 and bus staging</x:v>
      </x:c>
      <x:c r="K9" s="78" t="str">
        <x:v>Bus priority and curb dispatch</x:v>
      </x:c>
      <x:c r="L9" s="95" t="n">
        <x:f>'Funding'!C9/E9</x:f>
        <x:v>20.9416398390098</x:v>
      </x:c>
      <x:c r="M9" s="78" t="str">
        <x:v>fta-world-cup-2026</x:v>
      </x:c>
    </x:row>
    <x:row r="10">
      <x:c r="A10" s="78" t="str">
        <x:v>los-angeles</x:v>
      </x:c>
      <x:c r="B10" s="78" t="str">
        <x:v>Los Angeles</x:v>
      </x:c>
      <x:c r="C10" s="78" t="n">
        <x:v>8</x:v>
      </x:c>
      <x:c r="D10" s="85" t="n">
        <x:v>70492</x:v>
      </x:c>
      <x:c r="E10" s="85" t="n">
        <x:v>560000</x:v>
      </x:c>
      <x:c r="F10" s="78" t="str">
        <x:v>observed_final</x:v>
      </x:c>
      <x:c r="G10" s="78" t="str">
        <x:v>Inglewood venue without direct heavy rail</x:v>
      </x:c>
      <x:c r="H10" s="78" t="n">
        <x:v>0</x:v>
      </x:c>
      <x:c r="I10" s="78" t="str">
        <x:v>LAX; BUR; LGB</x:v>
      </x:c>
      <x:c r="J10" s="78" t="str">
        <x:v>Rail/bus hubs feed stadium connectors</x:v>
      </x:c>
      <x:c r="K10" s="78" t="str">
        <x:v>Connector travel time and staging</x:v>
      </x:c>
      <x:c r="L10" s="95" t="n">
        <x:f>'Funding'!C10/E10</x:f>
        <x:v>17.148721428571427</x:v>
      </x:c>
      <x:c r="M10" s="78" t="str">
        <x:v>fta-world-cup-2026</x:v>
      </x:c>
    </x:row>
    <x:row r="11">
      <x:c r="A11" s="78" t="str">
        <x:v>miami</x:v>
      </x:c>
      <x:c r="B11" s="78" t="str">
        <x:v>Miami</x:v>
      </x:c>
      <x:c r="C11" s="78" t="n">
        <x:v>7</x:v>
      </x:c>
      <x:c r="D11" s="85" t="n">
        <x:v>64478</x:v>
      </x:c>
      <x:c r="E11" s="85" t="n">
        <x:v>449157</x:v>
      </x:c>
      <x:c r="F11" s="78" t="str">
        <x:v>observed_final</x:v>
      </x:c>
      <x:c r="G11" s="78" t="str">
        <x:v>Miami Gardens; remote from Metrorail</x:v>
      </x:c>
      <x:c r="H11" s="78" t="n">
        <x:v>0</x:v>
      </x:c>
      <x:c r="I11" s="78" t="str">
        <x:v>MIA; FLL</x:v>
      </x:c>
      <x:c r="J11" s="78" t="str">
        <x:v>Multi-hub shuttle network</x:v>
      </x:c>
      <x:c r="K11" s="78" t="str">
        <x:v>Long connectors, heat, curb and freeway reliability</x:v>
      </x:c>
      <x:c r="L11" s="95" t="n">
        <x:f>'Funding'!C11/E11</x:f>
        <x:v>19.363897256415907</x:v>
      </x:c>
      <x:c r="M11" s="78" t="str">
        <x:v>fta-world-cup-2026</x:v>
      </x:c>
    </x:row>
    <x:row r="12">
      <x:c r="A12" s="78" t="str">
        <x:v>nynj</x:v>
      </x:c>
      <x:c r="B12" s="78" t="str">
        <x:v>New York/New Jersey</x:v>
      </x:c>
      <x:c r="C12" s="78" t="n">
        <x:v>8</x:v>
      </x:c>
      <x:c r="D12" s="85" t="n">
        <x:v>80663</x:v>
      </x:c>
      <x:c r="E12" s="85" t="n">
        <x:v>620555</x:v>
      </x:c>
      <x:c r="F12" s="78" t="str">
        <x:v>observed_final</x:v>
      </x:c>
      <x:c r="G12" s="78" t="str">
        <x:v>Meadowlands special-event rail/shuttle/parking</x:v>
      </x:c>
      <x:c r="H12" s="78" t="n">
        <x:v>1</x:v>
      </x:c>
      <x:c r="I12" s="78" t="str">
        <x:v>EWR; JFK; LGA</x:v>
      </x:c>
      <x:c r="J12" s="78" t="str">
        <x:v>Secaucus transfer and American Dream desire lines</x:v>
      </x:c>
      <x:c r="K12" s="78" t="str">
        <x:v>Station throughput plus unmanaged drop-off</x:v>
      </x:c>
      <x:c r="L12" s="95" t="n">
        <x:f>'Funding'!C12/E12</x:f>
        <x:v>16.821524280684226</x:v>
      </x:c>
      <x:c r="M12" s="78" t="str">
        <x:v>fta-world-cup-2026</x:v>
      </x:c>
    </x:row>
    <x:row r="13">
      <x:c r="A13" s="78" t="str">
        <x:v>philadelphia</x:v>
      </x:c>
      <x:c r="B13" s="78" t="str">
        <x:v>Philadelphia</x:v>
      </x:c>
      <x:c r="C13" s="78" t="n">
        <x:v>6</x:v>
      </x:c>
      <x:c r="D13" s="85" t="n">
        <x:v>68324</x:v>
      </x:c>
      <x:c r="E13" s="85" t="n">
        <x:v>407894</x:v>
      </x:c>
      <x:c r="F13" s="78" t="str">
        <x:v>capacity_proxy</x:v>
      </x:c>
      <x:c r="G13" s="78" t="str">
        <x:v>Sports Complex rail terminus</x:v>
      </x:c>
      <x:c r="H13" s="78" t="n">
        <x:v>1</x:v>
      </x:c>
      <x:c r="I13" s="78" t="str">
        <x:v>PHL</x:v>
      </x:c>
      <x:c r="J13" s="78" t="str">
        <x:v>Direct B Line plus freeway/parking</x:v>
      </x:c>
      <x:c r="K13" s="78" t="str">
        <x:v>NRG egress surge and platform queues</x:v>
      </x:c>
      <x:c r="L13" s="95" t="n">
        <x:f>'Funding'!C13/E13</x:f>
        <x:v>20.775806949844814</x:v>
      </x:c>
      <x:c r="M13" s="78" t="str">
        <x:v>fta-world-cup-2026</x:v>
      </x:c>
    </x:row>
    <x:row r="14">
      <x:c r="A14" s="78" t="str">
        <x:v>sf-bay</x:v>
      </x:c>
      <x:c r="B14" s="78" t="str">
        <x:v>San Francisco Bay Area</x:v>
      </x:c>
      <x:c r="C14" s="78" t="n">
        <x:v>6</x:v>
      </x:c>
      <x:c r="D14" s="85" t="n">
        <x:v>68827</x:v>
      </x:c>
      <x:c r="E14" s="85" t="n">
        <x:v>410000</x:v>
      </x:c>
      <x:c r="F14" s="78" t="str">
        <x:v>observed_final</x:v>
      </x:c>
      <x:c r="G14" s="78" t="str">
        <x:v>Santa Clara; VTA light rail near venue</x:v>
      </x:c>
      <x:c r="H14" s="78" t="n">
        <x:v>1</x:v>
      </x:c>
      <x:c r="I14" s="78" t="str">
        <x:v>SJC; SFO; OAK</x:v>
      </x:c>
      <x:c r="J14" s="78" t="str">
        <x:v>BART/Caltrain/ACE transfer to VTA</x:v>
      </x:c>
      <x:c r="K14" s="78" t="str">
        <x:v>Last-leg VTA and regional transfers</x:v>
      </x:c>
      <x:c r="L14" s="95" t="n">
        <x:f>'Funding'!C14/E14</x:f>
        <x:v>21.482653658536584</x:v>
      </x:c>
      <x:c r="M14" s="78" t="str">
        <x:v>fta-world-cup-2026</x:v>
      </x:c>
    </x:row>
    <x:row r="15">
      <x:c r="A15" s="78" t="str">
        <x:v>seattle</x:v>
      </x:c>
      <x:c r="B15" s="78" t="str">
        <x:v>Seattle</x:v>
      </x:c>
      <x:c r="C15" s="78" t="n">
        <x:v>6</x:v>
      </x:c>
      <x:c r="D15" s="85" t="n">
        <x:v>66925</x:v>
      </x:c>
      <x:c r="E15" s="85" t="n">
        <x:v>399542</x:v>
      </x:c>
      <x:c r="F15" s="78" t="str">
        <x:v>capacity_proxy</x:v>
      </x:c>
      <x:c r="G15" s="78" t="str">
        <x:v>Downtown venue next to Link</x:v>
      </x:c>
      <x:c r="H15" s="78" t="n">
        <x:v>2</x:v>
      </x:c>
      <x:c r="I15" s="78" t="str">
        <x:v>SEA</x:v>
      </x:c>
      <x:c r="J15" s="78" t="str">
        <x:v>Direct Link and regional bus/rail/ferry</x:v>
      </x:c>
      <x:c r="K15" s="78" t="str">
        <x:v>Pedestrian/platform throughput and recovery</x:v>
      </x:c>
      <x:c r="L15" s="95" t="n">
        <x:f>'Funding'!C15/E15</x:f>
        <x:v>21.04519424741329</x:v>
      </x:c>
      <x:c r="M15" s="78" t="str">
        <x:v>fta-world-cup-2026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c1e923e9d57541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31" hidden="0" customWidth="1"/>
    <x:col min="4" max="4" width="24" hidden="0" customWidth="1"/>
    <x:col min="5" max="5" width="17" hidden="0" customWidth="1"/>
    <x:col min="6" max="6" width="19" hidden="0" customWidth="1"/>
    <x:col min="7" max="7" width="17" hidden="0" customWidth="1"/>
    <x:col min="8" max="8" width="12" hidden="0" customWidth="1"/>
    <x:col min="9" max="9" width="15" hidden="0" customWidth="1"/>
    <x:col min="10" max="10" width="16" hidden="0" customWidth="1"/>
    <x:col min="11" max="11" width="23" hidden="0" customWidth="1"/>
    <x:col min="12" max="12" width="20" hidden="0" customWidth="1"/>
    <x:col min="13" max="13" width="20" hidden="0" customWidth="1"/>
    <x:col min="14" max="14" width="23" hidden="0" customWidth="1"/>
    <x:col min="15" max="15" width="26" hidden="0" customWidth="1"/>
    <x:col min="16" max="16" width="22" hidden="0" customWidth="1"/>
    <x:col min="17" max="17" width="55" hidden="0" customWidth="1"/>
  </x:cols>
  <x:sheetData>
    <x:row r="1" ht="30" customHeight="1">
      <x:c r="A1" s="129" t="str">
        <x:v>Intervention Cost and Impact Assumptions</x:v>
      </x:c>
    </x:row>
    <x:row r="2" ht="38" customHeight="1">
      <x:c r="A2" s="73" t="str">
        <x:v>All rows are editable demonstration assumptions. Costs include planning/deployment/contingency concepts but are not local bids. Impact values feed the demo MILP and require sensitivity testing.</x:v>
      </x:c>
    </x:row>
    <x:row r="4">
      <x:c r="A4" s="76" t="str">
        <x:v>code</x:v>
      </x:c>
      <x:c r="B4" s="76" t="str">
        <x:v>intervention_id</x:v>
      </x:c>
      <x:c r="C4" s="76" t="str">
        <x:v>name</x:v>
      </x:c>
      <x:c r="D4" s="76" t="str">
        <x:v>decision_unit</x:v>
      </x:c>
      <x:c r="E4" s="76" t="str">
        <x:v>low_cost_usd</x:v>
      </x:c>
      <x:c r="F4" s="76" t="str">
        <x:v>typical_cost_usd</x:v>
      </x:c>
      <x:c r="G4" s="76" t="str">
        <x:v>high_cost_usd</x:v>
      </x:c>
      <x:c r="H4" s="76" t="str">
        <x:v>max_units</x:v>
      </x:c>
      <x:c r="I4" s="76" t="str">
        <x:v>permanence</x:v>
      </x:c>
      <x:c r="J4" s="76" t="str">
        <x:v>useful_life_years</x:v>
      </x:c>
      <x:c r="K4" s="76" t="str">
        <x:v>passenger_minutes_saved</x:v>
      </x:c>
      <x:c r="L4" s="76" t="str">
        <x:v>vehicle_hours_avoided</x:v>
      </x:c>
      <x:c r="M4" s="76" t="str">
        <x:v>co2_tonnes_avoided</x:v>
      </x:c>
      <x:c r="N4" s="76" t="str">
        <x:v>accessible_trips_improved</x:v>
      </x:c>
      <x:c r="O4" s="76" t="str">
        <x:v>reliability_risk_pp_reduction</x:v>
      </x:c>
      <x:c r="P4" s="76" t="str">
        <x:v>evidence_class</x:v>
      </x:c>
      <x:c r="Q4" s="76" t="str">
        <x:v>methodology_note</x:v>
      </x:c>
    </x:row>
    <x:row r="5">
      <x:c r="A5" s="78" t="str">
        <x:v>S</x:v>
      </x:c>
      <x:c r="B5" s="78" t="str">
        <x:v>service</x:v>
      </x:c>
      <x:c r="C5" s="78" t="str">
        <x:v>Extra transit service</x:v>
      </x:c>
      <x:c r="D5" s="78" t="str">
        <x:v>2,500 vehicle-hours</x:v>
      </x:c>
      <x:c r="E5" s="81" t="n">
        <x:v>410000</x:v>
      </x:c>
      <x:c r="F5" s="81" t="n">
        <x:v>550000</x:v>
      </x:c>
      <x:c r="G5" s="81" t="n">
        <x:v>690000</x:v>
      </x:c>
      <x:c r="H5" s="96" t="n">
        <x:v>5</x:v>
      </x:c>
      <x:c r="I5" s="96" t="str">
        <x:v>operational</x:v>
      </x:c>
      <x:c r="J5" s="96" t="n">
        <x:v>1</x:v>
      </x:c>
      <x:c r="K5" s="96" t="n">
        <x:v>180000</x:v>
      </x:c>
      <x:c r="L5" s="96" t="n">
        <x:v>4000</x:v>
      </x:c>
      <x:c r="M5" s="96" t="n">
        <x:v>45</x:v>
      </x:c>
      <x:c r="N5" s="96" t="n">
        <x:v>8000</x:v>
      </x:c>
      <x:c r="O5" s="96" t="n">
        <x:v>1.7</x:v>
      </x:c>
      <x:c r="P5" s="78" t="str">
        <x:v>engineering_assumption</x:v>
      </x:c>
      <x:c r="Q5" s="78" t="str">
        <x:v>Use agency NTD expense per vehicle revenue hour in production</x:v>
      </x:c>
    </x:row>
    <x:row r="6">
      <x:c r="A6" s="78" t="str">
        <x:v>L</x:v>
      </x:c>
      <x:c r="B6" s="78" t="str">
        <x:v>buslane</x:v>
      </x:c>
      <x:c r="C6" s="78" t="str">
        <x:v>Transit-priority lanes</x:v>
      </x:c>
      <x:c r="D6" s="78" t="str">
        <x:v>2 lane-miles</x:v>
      </x:c>
      <x:c r="E6" s="81" t="n">
        <x:v>270000</x:v>
      </x:c>
      <x:c r="F6" s="81" t="n">
        <x:v>360000</x:v>
      </x:c>
      <x:c r="G6" s="81" t="n">
        <x:v>450000</x:v>
      </x:c>
      <x:c r="H6" s="96" t="n">
        <x:v>4</x:v>
      </x:c>
      <x:c r="I6" s="96" t="str">
        <x:v>convertible</x:v>
      </x:c>
      <x:c r="J6" s="96" t="n">
        <x:v>10</x:v>
      </x:c>
      <x:c r="K6" s="96" t="n">
        <x:v>210000</x:v>
      </x:c>
      <x:c r="L6" s="96" t="n">
        <x:v>8000</x:v>
      </x:c>
      <x:c r="M6" s="96" t="n">
        <x:v>70</x:v>
      </x:c>
      <x:c r="N6" s="96" t="n">
        <x:v>10000</x:v>
      </x:c>
      <x:c r="O6" s="96" t="n">
        <x:v>1.1</x:v>
      </x:c>
      <x:c r="P6" s="78" t="str">
        <x:v>engineering_assumption</x:v>
      </x:c>
      <x:c r="Q6" s="78" t="str">
        <x:v>Temporary/tactical lane can be modeled as permanent conversion</x:v>
      </x:c>
    </x:row>
    <x:row r="7">
      <x:c r="A7" s="78" t="str">
        <x:v>G</x:v>
      </x:c>
      <x:c r="B7" s="78" t="str">
        <x:v>signals</x:v>
      </x:c>
      <x:c r="C7" s="78" t="str">
        <x:v>Signal timing plans</x:v>
      </x:c>
      <x:c r="D7" s="78" t="str">
        <x:v>20 intersections</x:v>
      </x:c>
      <x:c r="E7" s="81" t="n">
        <x:v>70000</x:v>
      </x:c>
      <x:c r="F7" s="81" t="n">
        <x:v>90000</x:v>
      </x:c>
      <x:c r="G7" s="81" t="n">
        <x:v>110000</x:v>
      </x:c>
      <x:c r="H7" s="96" t="n">
        <x:v>4</x:v>
      </x:c>
      <x:c r="I7" s="96" t="str">
        <x:v>permanent</x:v>
      </x:c>
      <x:c r="J7" s="96" t="n">
        <x:v>10</x:v>
      </x:c>
      <x:c r="K7" s="96" t="n">
        <x:v>70000</x:v>
      </x:c>
      <x:c r="L7" s="96" t="n">
        <x:v>7000</x:v>
      </x:c>
      <x:c r="M7" s="96" t="n">
        <x:v>30</x:v>
      </x:c>
      <x:c r="N7" s="96" t="n">
        <x:v>2000</x:v>
      </x:c>
      <x:c r="O7" s="96" t="n">
        <x:v>0.5</x:v>
      </x:c>
      <x:c r="P7" s="78" t="str">
        <x:v>engineering_assumption</x:v>
      </x:c>
      <x:c r="Q7" s="78" t="str">
        <x:v>FHWA analog supports order of magnitude</x:v>
      </x:c>
    </x:row>
    <x:row r="8">
      <x:c r="A8" s="78" t="str">
        <x:v>H</x:v>
      </x:c>
      <x:c r="B8" s="78" t="str">
        <x:v>hub</x:v>
      </x:c>
      <x:c r="C8" s="78" t="str">
        <x:v>Hub-to-stadium shuttle package</x:v>
      </x:c>
      <x:c r="D8" s="78" t="str">
        <x:v>1 hub package</x:v>
      </x:c>
      <x:c r="E8" s="81" t="n">
        <x:v>560000</x:v>
      </x:c>
      <x:c r="F8" s="81" t="n">
        <x:v>750000</x:v>
      </x:c>
      <x:c r="G8" s="81" t="n">
        <x:v>940000</x:v>
      </x:c>
      <x:c r="H8" s="96" t="n">
        <x:v>4</x:v>
      </x:c>
      <x:c r="I8" s="96" t="str">
        <x:v>convertible</x:v>
      </x:c>
      <x:c r="J8" s="96" t="n">
        <x:v>15</x:v>
      </x:c>
      <x:c r="K8" s="96" t="n">
        <x:v>190000</x:v>
      </x:c>
      <x:c r="L8" s="96" t="n">
        <x:v>6000</x:v>
      </x:c>
      <x:c r="M8" s="96" t="n">
        <x:v>60</x:v>
      </x:c>
      <x:c r="N8" s="96" t="n">
        <x:v>14000</x:v>
      </x:c>
      <x:c r="O8" s="96" t="n">
        <x:v>1.3</x:v>
      </x:c>
      <x:c r="P8" s="78" t="str">
        <x:v>engineering_assumption</x:v>
      </x:c>
      <x:c r="Q8" s="78" t="str">
        <x:v>Includes staging, dispatch and passenger facilities</x:v>
      </x:c>
    </x:row>
    <x:row r="9">
      <x:c r="A9" s="78" t="str">
        <x:v>R</x:v>
      </x:c>
      <x:c r="B9" s="78" t="str">
        <x:v>parkride</x:v>
      </x:c>
      <x:c r="C9" s="78" t="str">
        <x:v>Park-and-ride package</x:v>
      </x:c>
      <x:c r="D9" s="78" t="str">
        <x:v>500 spaces</x:v>
      </x:c>
      <x:c r="E9" s="81" t="n">
        <x:v>340000</x:v>
      </x:c>
      <x:c r="F9" s="81" t="n">
        <x:v>450000</x:v>
      </x:c>
      <x:c r="G9" s="81" t="n">
        <x:v>560000</x:v>
      </x:c>
      <x:c r="H9" s="96" t="n">
        <x:v>3</x:v>
      </x:c>
      <x:c r="I9" s="96" t="str">
        <x:v>convertible</x:v>
      </x:c>
      <x:c r="J9" s="96" t="n">
        <x:v>5</x:v>
      </x:c>
      <x:c r="K9" s="96" t="n">
        <x:v>80000</x:v>
      </x:c>
      <x:c r="L9" s="96" t="n">
        <x:v>5000</x:v>
      </x:c>
      <x:c r="M9" s="96" t="n">
        <x:v>15</x:v>
      </x:c>
      <x:c r="N9" s="96" t="n">
        <x:v>6000</x:v>
      </x:c>
      <x:c r="O9" s="96" t="n">
        <x:v>0.5</x:v>
      </x:c>
      <x:c r="P9" s="78" t="str">
        <x:v>engineering_assumption</x:v>
      </x:c>
      <x:c r="Q9" s="78" t="str">
        <x:v>Intercept parking away from venue</x:v>
      </x:c>
    </x:row>
    <x:row r="10">
      <x:c r="A10" s="78" t="str">
        <x:v>P</x:v>
      </x:c>
      <x:c r="B10" s="78" t="str">
        <x:v>ped</x:v>
      </x:c>
      <x:c r="C10" s="78" t="str">
        <x:v>Protected pedestrian corridor</x:v>
      </x:c>
      <x:c r="D10" s="78" t="str">
        <x:v>1 tactical mile</x:v>
      </x:c>
      <x:c r="E10" s="81" t="n">
        <x:v>450000</x:v>
      </x:c>
      <x:c r="F10" s="81" t="n">
        <x:v>600000</x:v>
      </x:c>
      <x:c r="G10" s="81" t="n">
        <x:v>750000</x:v>
      </x:c>
      <x:c r="H10" s="96" t="n">
        <x:v>3</x:v>
      </x:c>
      <x:c r="I10" s="96" t="str">
        <x:v>permanent</x:v>
      </x:c>
      <x:c r="J10" s="96" t="n">
        <x:v>15</x:v>
      </x:c>
      <x:c r="K10" s="96" t="n">
        <x:v>55000</x:v>
      </x:c>
      <x:c r="L10" s="96" t="n">
        <x:v>1500</x:v>
      </x:c>
      <x:c r="M10" s="96" t="n">
        <x:v>12</x:v>
      </x:c>
      <x:c r="N10" s="96" t="n">
        <x:v>9000</x:v>
      </x:c>
      <x:c r="O10" s="96" t="n">
        <x:v>0.7</x:v>
      </x:c>
      <x:c r="P10" s="78" t="str">
        <x:v>engineering_assumption</x:v>
      </x:c>
      <x:c r="Q10" s="78" t="str">
        <x:v>High-priority NJNY legacy visualization</x:v>
      </x:c>
    </x:row>
    <x:row r="11">
      <x:c r="A11" s="78" t="str">
        <x:v>B</x:v>
      </x:c>
      <x:c r="B11" s="78" t="str">
        <x:v>bike</x:v>
      </x:c>
      <x:c r="C11" s="78" t="str">
        <x:v>Protected bicycle access</x:v>
      </x:c>
      <x:c r="D11" s="78" t="str">
        <x:v>2 route-miles + parking</x:v>
      </x:c>
      <x:c r="E11" s="81" t="n">
        <x:v>490000</x:v>
      </x:c>
      <x:c r="F11" s="81" t="n">
        <x:v>650000</x:v>
      </x:c>
      <x:c r="G11" s="81" t="n">
        <x:v>810000</x:v>
      </x:c>
      <x:c r="H11" s="96" t="n">
        <x:v>2</x:v>
      </x:c>
      <x:c r="I11" s="96" t="str">
        <x:v>permanent</x:v>
      </x:c>
      <x:c r="J11" s="96" t="n">
        <x:v>15</x:v>
      </x:c>
      <x:c r="K11" s="96" t="n">
        <x:v>35000</x:v>
      </x:c>
      <x:c r="L11" s="96" t="n">
        <x:v>1000</x:v>
      </x:c>
      <x:c r="M11" s="96" t="n">
        <x:v>18</x:v>
      </x:c>
      <x:c r="N11" s="96" t="n">
        <x:v>3000</x:v>
      </x:c>
      <x:c r="O11" s="96" t="n">
        <x:v>0.2</x:v>
      </x:c>
      <x:c r="P11" s="78" t="str">
        <x:v>engineering_assumption</x:v>
      </x:c>
      <x:c r="Q11" s="78" t="str">
        <x:v>Short-trip substitution and resident access</x:v>
      </x:c>
    </x:row>
    <x:row r="12">
      <x:c r="A12" s="78" t="str">
        <x:v>N</x:v>
      </x:c>
      <x:c r="B12" s="78" t="str">
        <x:v>tnc</x:v>
      </x:c>
      <x:c r="C12" s="78" t="str">
        <x:v>Managed rideshare hub</x:v>
      </x:c>
      <x:c r="D12" s="78" t="str">
        <x:v>1 staffed hub</x:v>
      </x:c>
      <x:c r="E12" s="81" t="n">
        <x:v>300000</x:v>
      </x:c>
      <x:c r="F12" s="81" t="n">
        <x:v>400000</x:v>
      </x:c>
      <x:c r="G12" s="81" t="n">
        <x:v>500000</x:v>
      </x:c>
      <x:c r="H12" s="96" t="n">
        <x:v>3</x:v>
      </x:c>
      <x:c r="I12" s="96" t="str">
        <x:v>convertible</x:v>
      </x:c>
      <x:c r="J12" s="96" t="n">
        <x:v>10</x:v>
      </x:c>
      <x:c r="K12" s="96" t="n">
        <x:v>120000</x:v>
      </x:c>
      <x:c r="L12" s="96" t="n">
        <x:v>11000</x:v>
      </x:c>
      <x:c r="M12" s="96" t="n">
        <x:v>-5</x:v>
      </x:c>
      <x:c r="N12" s="96" t="n">
        <x:v>4000</x:v>
      </x:c>
      <x:c r="O12" s="96" t="n">
        <x:v>0.8</x:v>
      </x:c>
      <x:c r="P12" s="78" t="str">
        <x:v>engineering_assumption</x:v>
      </x:c>
      <x:c r="Q12" s="78" t="str">
        <x:v>Negative CO2 base impact reflects possible induced TNC use</x:v>
      </x:c>
    </x:row>
    <x:row r="13">
      <x:c r="A13" s="78" t="str">
        <x:v>W</x:v>
      </x:c>
      <x:c r="B13" s="78" t="str">
        <x:v>wayfinding</x:v>
      </x:c>
      <x:c r="C13" s="78" t="str">
        <x:v>Multilingual wayfinding</x:v>
      </x:c>
      <x:c r="D13" s="78" t="str">
        <x:v>City package</x:v>
      </x:c>
      <x:c r="E13" s="81" t="n">
        <x:v>230000</x:v>
      </x:c>
      <x:c r="F13" s="81" t="n">
        <x:v>300000</x:v>
      </x:c>
      <x:c r="G13" s="81" t="n">
        <x:v>380000</x:v>
      </x:c>
      <x:c r="H13" s="96" t="n">
        <x:v>2</x:v>
      </x:c>
      <x:c r="I13" s="96" t="str">
        <x:v>permanent</x:v>
      </x:c>
      <x:c r="J13" s="96" t="n">
        <x:v>7</x:v>
      </x:c>
      <x:c r="K13" s="96" t="n">
        <x:v>45000</x:v>
      </x:c>
      <x:c r="L13" s="96" t="n">
        <x:v>500</x:v>
      </x:c>
      <x:c r="M13" s="96" t="n">
        <x:v>4</x:v>
      </x:c>
      <x:c r="N13" s="96" t="n">
        <x:v>7000</x:v>
      </x:c>
      <x:c r="O13" s="96" t="n">
        <x:v>0.6</x:v>
      </x:c>
      <x:c r="P13" s="78" t="str">
        <x:v>engineering_assumption</x:v>
      </x:c>
      <x:c r="Q13" s="78" t="str">
        <x:v>Digital and physical signs plus staffed navigation</x:v>
      </x:c>
    </x:row>
    <x:row r="14">
      <x:c r="A14" s="78" t="str">
        <x:v>C</x:v>
      </x:c>
      <x:c r="B14" s="78" t="str">
        <x:v>station</x:v>
      </x:c>
      <x:c r="C14" s="78" t="str">
        <x:v>Station-capacity package</x:v>
      </x:c>
      <x:c r="D14" s="78" t="str">
        <x:v>1 station</x:v>
      </x:c>
      <x:c r="E14" s="81" t="n">
        <x:v>940000</x:v>
      </x:c>
      <x:c r="F14" s="81" t="n">
        <x:v>1250000</x:v>
      </x:c>
      <x:c r="G14" s="81" t="n">
        <x:v>1560000</x:v>
      </x:c>
      <x:c r="H14" s="96" t="n">
        <x:v>3</x:v>
      </x:c>
      <x:c r="I14" s="96" t="str">
        <x:v>permanent</x:v>
      </x:c>
      <x:c r="J14" s="96" t="n">
        <x:v>25</x:v>
      </x:c>
      <x:c r="K14" s="96" t="n">
        <x:v>240000</x:v>
      </x:c>
      <x:c r="L14" s="96" t="n">
        <x:v>2500</x:v>
      </x:c>
      <x:c r="M14" s="96" t="n">
        <x:v>25</x:v>
      </x:c>
      <x:c r="N14" s="96" t="n">
        <x:v>18000</x:v>
      </x:c>
      <x:c r="O14" s="96" t="n">
        <x:v>2.4</x:v>
      </x:c>
      <x:c r="P14" s="78" t="str">
        <x:v>engineering_assumption</x:v>
      </x:c>
      <x:c r="Q14" s="78" t="str">
        <x:v>Gates, queues, barriers, staffing and minor works</x:v>
      </x:c>
    </x:row>
    <x:row r="15">
      <x:c r="A15" s="78" t="str">
        <x:v>O</x:v>
      </x:c>
      <x:c r="B15" s="78" t="str">
        <x:v>toc</x:v>
      </x:c>
      <x:c r="C15" s="78" t="str">
        <x:v>Integrated traffic operations</x:v>
      </x:c>
      <x:c r="D15" s="78" t="str">
        <x:v>City package</x:v>
      </x:c>
      <x:c r="E15" s="81" t="n">
        <x:v>560000</x:v>
      </x:c>
      <x:c r="F15" s="81" t="n">
        <x:v>750000</x:v>
      </x:c>
      <x:c r="G15" s="81" t="n">
        <x:v>940000</x:v>
      </x:c>
      <x:c r="H15" s="96" t="n">
        <x:v>2</x:v>
      </x:c>
      <x:c r="I15" s="96" t="str">
        <x:v>permanent</x:v>
      </x:c>
      <x:c r="J15" s="96" t="n">
        <x:v>10</x:v>
      </x:c>
      <x:c r="K15" s="96" t="n">
        <x:v>150000</x:v>
      </x:c>
      <x:c r="L15" s="96" t="n">
        <x:v>13000</x:v>
      </x:c>
      <x:c r="M15" s="96" t="n">
        <x:v>45</x:v>
      </x:c>
      <x:c r="N15" s="96" t="n">
        <x:v>5000</x:v>
      </x:c>
      <x:c r="O15" s="96" t="n">
        <x:v>1.5</x:v>
      </x:c>
      <x:c r="P15" s="78" t="str">
        <x:v>engineering_assumption</x:v>
      </x:c>
      <x:c r="Q15" s="78" t="str">
        <x:v>Incident response, data integration and adaptive dispatch</x:v>
      </x:c>
    </x:row>
    <x:row r="16">
      <x:c r="A16" s="78" t="str">
        <x:v>A</x:v>
      </x:c>
      <x:c r="B16" s="78" t="str">
        <x:v>access</x:v>
      </x:c>
      <x:c r="C16" s="78" t="str">
        <x:v>ADA/microtransit access</x:v>
      </x:c>
      <x:c r="D16" s="78" t="str">
        <x:v>City package</x:v>
      </x:c>
      <x:c r="E16" s="81" t="n">
        <x:v>380000</x:v>
      </x:c>
      <x:c r="F16" s="81" t="n">
        <x:v>500000</x:v>
      </x:c>
      <x:c r="G16" s="81" t="n">
        <x:v>630000</x:v>
      </x:c>
      <x:c r="H16" s="96" t="n">
        <x:v>2</x:v>
      </x:c>
      <x:c r="I16" s="96" t="str">
        <x:v>permanent</x:v>
      </x:c>
      <x:c r="J16" s="96" t="n">
        <x:v>15</x:v>
      </x:c>
      <x:c r="K16" s="96" t="n">
        <x:v>40000</x:v>
      </x:c>
      <x:c r="L16" s="96" t="n">
        <x:v>400</x:v>
      </x:c>
      <x:c r="M16" s="96" t="n">
        <x:v>1</x:v>
      </x:c>
      <x:c r="N16" s="96" t="n">
        <x:v>8000</x:v>
      </x:c>
      <x:c r="O16" s="96" t="n">
        <x:v>0.4</x:v>
      </x:c>
      <x:c r="P16" s="78" t="str">
        <x:v>engineering_assumption</x:v>
      </x:c>
      <x:c r="Q16" s="78" t="str">
        <x:v>Accessible first/last-mile capacity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b679faf42b44de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  <x:col min="8" max="8" width="12" hidden="0" customWidth="1"/>
    <x:col min="9" max="9" width="14" hidden="0" customWidth="1"/>
    <x:col min="10" max="10" width="14" hidden="0" customWidth="1"/>
    <x:col min="11" max="11" width="12" hidden="0" customWidth="1"/>
    <x:col min="12" max="12" width="15" hidden="0" customWidth="1"/>
    <x:col min="13" max="13" width="15" hidden="0" customWidth="1"/>
    <x:col min="14" max="14" width="22" hidden="0" customWidth="1"/>
    <x:col min="15" max="15" width="60" hidden="0" customWidth="1"/>
  </x:cols>
  <x:sheetData>
    <x:row r="1" ht="30" customHeight="1">
      <x:c r="A1" s="129" t="str">
        <x:v>City-Specific Intervention Productivity Multipliers</x:v>
      </x:c>
    </x:row>
    <x:row r="2" ht="38" customHeight="1">
      <x:c r="A2" s="73" t="str">
        <x:v>Values above 1.0 increase modeled productivity relative to the catalog baseline. They are transparent scenario assumptions informed by venue topology and published 2026 evidence—not measured causal effects.</x:v>
      </x:c>
    </x:row>
    <x:row r="4">
      <x:c r="A4" s="76" t="str">
        <x:v>host_region</x:v>
      </x:c>
      <x:c r="B4" s="76" t="str">
        <x:v>service</x:v>
      </x:c>
      <x:c r="C4" s="76" t="str">
        <x:v>buslane</x:v>
      </x:c>
      <x:c r="D4" s="76" t="str">
        <x:v>signals</x:v>
      </x:c>
      <x:c r="E4" s="76" t="str">
        <x:v>hub</x:v>
      </x:c>
      <x:c r="F4" s="76" t="str">
        <x:v>parkride</x:v>
      </x:c>
      <x:c r="G4" s="76" t="str">
        <x:v>pedestrian</x:v>
      </x:c>
      <x:c r="H4" s="76" t="str">
        <x:v>bike</x:v>
      </x:c>
      <x:c r="I4" s="76" t="str">
        <x:v>rideshare</x:v>
      </x:c>
      <x:c r="J4" s="76" t="str">
        <x:v>wayfinding</x:v>
      </x:c>
      <x:c r="K4" s="76" t="str">
        <x:v>station</x:v>
      </x:c>
      <x:c r="L4" s="76" t="str">
        <x:v>traffic_ops</x:v>
      </x:c>
      <x:c r="M4" s="76" t="str">
        <x:v>accessibility</x:v>
      </x:c>
      <x:c r="N4" s="76" t="str">
        <x:v>evidence_class</x:v>
      </x:c>
      <x:c r="O4" s="76" t="str">
        <x:v>calibration_reason</x:v>
      </x:c>
    </x:row>
    <x:row r="5">
      <x:c r="A5" s="78" t="str">
        <x:v>Atlanta</x:v>
      </x:c>
      <x:c r="B5" s="86" t="n">
        <x:v>1.4</x:v>
      </x:c>
      <x:c r="C5" s="86" t="n">
        <x:v>0.7</x:v>
      </x:c>
      <x:c r="D5" s="86" t="n">
        <x:v>0.8</x:v>
      </x:c>
      <x:c r="E5" s="86" t="n">
        <x:v>0.6</x:v>
      </x:c>
      <x:c r="F5" s="86" t="n">
        <x:v>0.5</x:v>
      </x:c>
      <x:c r="G5" s="86" t="n">
        <x:v>1.1</x:v>
      </x:c>
      <x:c r="H5" s="86" t="n">
        <x:v>0.8</x:v>
      </x:c>
      <x:c r="I5" s="86" t="n">
        <x:v>0.8</x:v>
      </x:c>
      <x:c r="J5" s="86" t="n">
        <x:v>1.2</x:v>
      </x:c>
      <x:c r="K5" s="86" t="n">
        <x:v>1.5</x:v>
      </x:c>
      <x:c r="L5" s="86" t="n">
        <x:v>1.2</x:v>
      </x:c>
      <x:c r="M5" s="86" t="n">
        <x:v>1</x:v>
      </x:c>
      <x:c r="N5" s="78" t="str">
        <x:v>engineering_assumption</x:v>
      </x:c>
      <x:c r="O5" s="78" t="str">
        <x:v>Direct rail; prioritize service, station circulation, operations and navigation.</x:v>
      </x:c>
    </x:row>
    <x:row r="6">
      <x:c r="A6" s="78" t="str">
        <x:v>Boston</x:v>
      </x:c>
      <x:c r="B6" s="86" t="n">
        <x:v>1.5</x:v>
      </x:c>
      <x:c r="C6" s="86" t="n">
        <x:v>1.2</x:v>
      </x:c>
      <x:c r="D6" s="86" t="n">
        <x:v>0.8</x:v>
      </x:c>
      <x:c r="E6" s="86" t="n">
        <x:v>1.7</x:v>
      </x:c>
      <x:c r="F6" s="86" t="n">
        <x:v>1.4</x:v>
      </x:c>
      <x:c r="G6" s="86" t="n">
        <x:v>0.6</x:v>
      </x:c>
      <x:c r="H6" s="86" t="n">
        <x:v>0.5</x:v>
      </x:c>
      <x:c r="I6" s="86" t="n">
        <x:v>1</x:v>
      </x:c>
      <x:c r="J6" s="86" t="n">
        <x:v>1.1</x:v>
      </x:c>
      <x:c r="K6" s="86" t="n">
        <x:v>1</x:v>
      </x:c>
      <x:c r="L6" s="86" t="n">
        <x:v>1.1</x:v>
      </x:c>
      <x:c r="M6" s="86" t="n">
        <x:v>1</x:v>
      </x:c>
      <x:c r="N6" s="78" t="str">
        <x:v>engineering_assumption</x:v>
      </x:c>
      <x:c r="O6" s="78" t="str">
        <x:v>Remote event-rail bridge; prioritize special service, hubs and contingencies.</x:v>
      </x:c>
    </x:row>
    <x:row r="7">
      <x:c r="A7" s="78" t="str">
        <x:v>Dallas</x:v>
      </x:c>
      <x:c r="B7" s="86" t="n">
        <x:v>1.7</x:v>
      </x:c>
      <x:c r="C7" s="86" t="n">
        <x:v>1.5</x:v>
      </x:c>
      <x:c r="D7" s="86" t="n">
        <x:v>1.4</x:v>
      </x:c>
      <x:c r="E7" s="86" t="n">
        <x:v>1.6</x:v>
      </x:c>
      <x:c r="F7" s="86" t="n">
        <x:v>1.5</x:v>
      </x:c>
      <x:c r="G7" s="86" t="n">
        <x:v>0.5</x:v>
      </x:c>
      <x:c r="H7" s="86" t="n">
        <x:v>0.3</x:v>
      </x:c>
      <x:c r="I7" s="86" t="n">
        <x:v>1.2</x:v>
      </x:c>
      <x:c r="J7" s="86" t="n">
        <x:v>1</x:v>
      </x:c>
      <x:c r="K7" s="86" t="n">
        <x:v>0.3</x:v>
      </x:c>
      <x:c r="L7" s="86" t="n">
        <x:v>1.3</x:v>
      </x:c>
      <x:c r="M7" s="86" t="n">
        <x:v>1</x:v>
      </x:c>
      <x:c r="N7" s="78" t="str">
        <x:v>engineering_assumption</x:v>
      </x:c>
      <x:c r="O7" s="78" t="str">
        <x:v>No direct stadium rail; prioritize shuttles, lanes, park-and-ride and traffic control.</x:v>
      </x:c>
    </x:row>
    <x:row r="8">
      <x:c r="A8" s="78" t="str">
        <x:v>Houston</x:v>
      </x:c>
      <x:c r="B8" s="86" t="n">
        <x:v>1.3</x:v>
      </x:c>
      <x:c r="C8" s="86" t="n">
        <x:v>1.1</x:v>
      </x:c>
      <x:c r="D8" s="86" t="n">
        <x:v>1.2</x:v>
      </x:c>
      <x:c r="E8" s="86" t="n">
        <x:v>1.1</x:v>
      </x:c>
      <x:c r="F8" s="86" t="n">
        <x:v>1</x:v>
      </x:c>
      <x:c r="G8" s="86" t="n">
        <x:v>0.9</x:v>
      </x:c>
      <x:c r="H8" s="86" t="n">
        <x:v>0.6</x:v>
      </x:c>
      <x:c r="I8" s="86" t="n">
        <x:v>1.1</x:v>
      </x:c>
      <x:c r="J8" s="86" t="n">
        <x:v>1.1</x:v>
      </x:c>
      <x:c r="K8" s="86" t="n">
        <x:v>1.2</x:v>
      </x:c>
      <x:c r="L8" s="86" t="n">
        <x:v>1.3</x:v>
      </x:c>
      <x:c r="M8" s="86" t="n">
        <x:v>1</x:v>
      </x:c>
      <x:c r="N8" s="78" t="str">
        <x:v>engineering_assumption</x:v>
      </x:c>
      <x:c r="O8" s="78" t="str">
        <x:v>Rail-served urban stadium; balance rail throughput with roadway operations.</x:v>
      </x:c>
    </x:row>
    <x:row r="9">
      <x:c r="A9" s="78" t="str">
        <x:v>Kansas City</x:v>
      </x:c>
      <x:c r="B9" s="86" t="n">
        <x:v>1.7</x:v>
      </x:c>
      <x:c r="C9" s="86" t="n">
        <x:v>1.5</x:v>
      </x:c>
      <x:c r="D9" s="86" t="n">
        <x:v>1.4</x:v>
      </x:c>
      <x:c r="E9" s="86" t="n">
        <x:v>1.7</x:v>
      </x:c>
      <x:c r="F9" s="86" t="n">
        <x:v>1.5</x:v>
      </x:c>
      <x:c r="G9" s="86" t="n">
        <x:v>0.5</x:v>
      </x:c>
      <x:c r="H9" s="86" t="n">
        <x:v>0.3</x:v>
      </x:c>
      <x:c r="I9" s="86" t="n">
        <x:v>1.3</x:v>
      </x:c>
      <x:c r="J9" s="86" t="n">
        <x:v>1</x:v>
      </x:c>
      <x:c r="K9" s="86" t="n">
        <x:v>0.2</x:v>
      </x:c>
      <x:c r="L9" s="86" t="n">
        <x:v>1.3</x:v>
      </x:c>
      <x:c r="M9" s="86" t="n">
        <x:v>1</x:v>
      </x:c>
      <x:c r="N9" s="78" t="str">
        <x:v>engineering_assumption</x:v>
      </x:c>
      <x:c r="O9" s="78" t="str">
        <x:v>Highway- and bus-dependent venue; prioritize shuttle and bus priority.</x:v>
      </x:c>
    </x:row>
    <x:row r="10">
      <x:c r="A10" s="78" t="str">
        <x:v>Los Angeles</x:v>
      </x:c>
      <x:c r="B10" s="86" t="n">
        <x:v>1.7</x:v>
      </x:c>
      <x:c r="C10" s="86" t="n">
        <x:v>1.6</x:v>
      </x:c>
      <x:c r="D10" s="86" t="n">
        <x:v>1.3</x:v>
      </x:c>
      <x:c r="E10" s="86" t="n">
        <x:v>1.6</x:v>
      </x:c>
      <x:c r="F10" s="86" t="n">
        <x:v>1.2</x:v>
      </x:c>
      <x:c r="G10" s="86" t="n">
        <x:v>0.7</x:v>
      </x:c>
      <x:c r="H10" s="86" t="n">
        <x:v>0.5</x:v>
      </x:c>
      <x:c r="I10" s="86" t="n">
        <x:v>1.4</x:v>
      </x:c>
      <x:c r="J10" s="86" t="n">
        <x:v>1.1</x:v>
      </x:c>
      <x:c r="K10" s="86" t="n">
        <x:v>0.5</x:v>
      </x:c>
      <x:c r="L10" s="86" t="n">
        <x:v>1.5</x:v>
      </x:c>
      <x:c r="M10" s="86" t="n">
        <x:v>1</x:v>
      </x:c>
      <x:c r="N10" s="78" t="str">
        <x:v>engineering_assumption</x:v>
      </x:c>
      <x:c r="O10" s="78" t="str">
        <x:v>No direct heavy rail; prioritize connector service, lanes, hubs and operations.</x:v>
      </x:c>
    </x:row>
    <x:row r="11">
      <x:c r="A11" s="78" t="str">
        <x:v>Miami</x:v>
      </x:c>
      <x:c r="B11" s="86" t="n">
        <x:v>1.6</x:v>
      </x:c>
      <x:c r="C11" s="86" t="n">
        <x:v>1.3</x:v>
      </x:c>
      <x:c r="D11" s="86" t="n">
        <x:v>1.2</x:v>
      </x:c>
      <x:c r="E11" s="86" t="n">
        <x:v>1.7</x:v>
      </x:c>
      <x:c r="F11" s="86" t="n">
        <x:v>1.4</x:v>
      </x:c>
      <x:c r="G11" s="86" t="n">
        <x:v>0.6</x:v>
      </x:c>
      <x:c r="H11" s="86" t="n">
        <x:v>0.4</x:v>
      </x:c>
      <x:c r="I11" s="86" t="n">
        <x:v>1.4</x:v>
      </x:c>
      <x:c r="J11" s="86" t="n">
        <x:v>1.2</x:v>
      </x:c>
      <x:c r="K11" s="86" t="n">
        <x:v>0.5</x:v>
      </x:c>
      <x:c r="L11" s="86" t="n">
        <x:v>1.5</x:v>
      </x:c>
      <x:c r="M11" s="86" t="n">
        <x:v>1</x:v>
      </x:c>
      <x:c r="N11" s="78" t="str">
        <x:v>engineering_assumption</x:v>
      </x:c>
      <x:c r="O11" s="78" t="str">
        <x:v>Long multi-hub connectors; prioritize hubs, service, TNC and operations.</x:v>
      </x:c>
    </x:row>
    <x:row r="12">
      <x:c r="A12" s="78" t="str">
        <x:v>New York/New Jersey</x:v>
      </x:c>
      <x:c r="B12" s="86" t="n">
        <x:v>1.4</x:v>
      </x:c>
      <x:c r="C12" s="86" t="n">
        <x:v>0.7</x:v>
      </x:c>
      <x:c r="D12" s="86" t="n">
        <x:v>0.8</x:v>
      </x:c>
      <x:c r="E12" s="86" t="n">
        <x:v>1.1</x:v>
      </x:c>
      <x:c r="F12" s="86" t="n">
        <x:v>0.3</x:v>
      </x:c>
      <x:c r="G12" s="86" t="n">
        <x:v>1.7</x:v>
      </x:c>
      <x:c r="H12" s="86" t="n">
        <x:v>0.6</x:v>
      </x:c>
      <x:c r="I12" s="86" t="n">
        <x:v>1.7</x:v>
      </x:c>
      <x:c r="J12" s="86" t="n">
        <x:v>1.3</x:v>
      </x:c>
      <x:c r="K12" s="86" t="n">
        <x:v>1.5</x:v>
      </x:c>
      <x:c r="L12" s="86" t="n">
        <x:v>1.7</x:v>
      </x:c>
      <x:c r="M12" s="86" t="n">
        <x:v>1.1</x:v>
      </x:c>
      <x:c r="N12" s="78" t="str">
        <x:v>engineering_assumption</x:v>
      </x:c>
      <x:c r="O12" s="78" t="str">
        <x:v>Observed pedestrian/TNC projection misses; prioritize full curb-walk-shuttle-rail system.</x:v>
      </x:c>
    </x:row>
    <x:row r="13">
      <x:c r="A13" s="78" t="str">
        <x:v>Philadelphia</x:v>
      </x:c>
      <x:c r="B13" s="86" t="n">
        <x:v>1.5</x:v>
      </x:c>
      <x:c r="C13" s="86" t="n">
        <x:v>0.8</x:v>
      </x:c>
      <x:c r="D13" s="86" t="n">
        <x:v>0.8</x:v>
      </x:c>
      <x:c r="E13" s="86" t="n">
        <x:v>0.6</x:v>
      </x:c>
      <x:c r="F13" s="86" t="n">
        <x:v>0.5</x:v>
      </x:c>
      <x:c r="G13" s="86" t="n">
        <x:v>1.4</x:v>
      </x:c>
      <x:c r="H13" s="86" t="n">
        <x:v>1</x:v>
      </x:c>
      <x:c r="I13" s="86" t="n">
        <x:v>0.8</x:v>
      </x:c>
      <x:c r="J13" s="86" t="n">
        <x:v>1.3</x:v>
      </x:c>
      <x:c r="K13" s="86" t="n">
        <x:v>1.6</x:v>
      </x:c>
      <x:c r="L13" s="86" t="n">
        <x:v>1.2</x:v>
      </x:c>
      <x:c r="M13" s="86" t="n">
        <x:v>1</x:v>
      </x:c>
      <x:c r="N13" s="78" t="str">
        <x:v>engineering_assumption</x:v>
      </x:c>
      <x:c r="O13" s="78" t="str">
        <x:v>Rail terminus; prioritize station throughput, pedestrian access and navigation.</x:v>
      </x:c>
    </x:row>
    <x:row r="14">
      <x:c r="A14" s="78" t="str">
        <x:v>San Francisco Bay Area</x:v>
      </x:c>
      <x:c r="B14" s="86" t="n">
        <x:v>1.6</x:v>
      </x:c>
      <x:c r="C14" s="86" t="n">
        <x:v>0.8</x:v>
      </x:c>
      <x:c r="D14" s="86" t="n">
        <x:v>0.9</x:v>
      </x:c>
      <x:c r="E14" s="86" t="n">
        <x:v>0.8</x:v>
      </x:c>
      <x:c r="F14" s="86" t="n">
        <x:v>1</x:v>
      </x:c>
      <x:c r="G14" s="86" t="n">
        <x:v>1.1</x:v>
      </x:c>
      <x:c r="H14" s="86" t="n">
        <x:v>1.3</x:v>
      </x:c>
      <x:c r="I14" s="86" t="n">
        <x:v>1</x:v>
      </x:c>
      <x:c r="J14" s="86" t="n">
        <x:v>1.3</x:v>
      </x:c>
      <x:c r="K14" s="86" t="n">
        <x:v>1.5</x:v>
      </x:c>
      <x:c r="L14" s="86" t="n">
        <x:v>1.3</x:v>
      </x:c>
      <x:c r="M14" s="86" t="n">
        <x:v>1</x:v>
      </x:c>
      <x:c r="N14" s="78" t="str">
        <x:v>engineering_assumption</x:v>
      </x:c>
      <x:c r="O14" s="78" t="str">
        <x:v>Strong regional rail with VTA last leg; prioritize transfers and station capacity.</x:v>
      </x:c>
    </x:row>
    <x:row r="15">
      <x:c r="A15" s="78" t="str">
        <x:v>Seattle</x:v>
      </x:c>
      <x:c r="B15" s="86" t="n">
        <x:v>1.6</x:v>
      </x:c>
      <x:c r="C15" s="86" t="n">
        <x:v>0.8</x:v>
      </x:c>
      <x:c r="D15" s="86" t="n">
        <x:v>0.8</x:v>
      </x:c>
      <x:c r="E15" s="86" t="n">
        <x:v>0.6</x:v>
      </x:c>
      <x:c r="F15" s="86" t="n">
        <x:v>0.5</x:v>
      </x:c>
      <x:c r="G15" s="86" t="n">
        <x:v>1.5</x:v>
      </x:c>
      <x:c r="H15" s="86" t="n">
        <x:v>1.4</x:v>
      </x:c>
      <x:c r="I15" s="86" t="n">
        <x:v>0.8</x:v>
      </x:c>
      <x:c r="J15" s="86" t="n">
        <x:v>1.3</x:v>
      </x:c>
      <x:c r="K15" s="86" t="n">
        <x:v>1.4</x:v>
      </x:c>
      <x:c r="L15" s="86" t="n">
        <x:v>1.3</x:v>
      </x:c>
      <x:c r="M15" s="86" t="n">
        <x:v>1</x:v>
      </x:c>
      <x:c r="N15" s="78" t="str">
        <x:v>engineering_assumption</x:v>
      </x:c>
      <x:c r="O15" s="78" t="str">
        <x:v>Downtown rail/walk access; prioritize service, pedestrian throughput and resilience.</x:v>
      </x:c>
    </x:row>
  </x:sheetData>
  <x:mergeCells>
    <x:mergeCell ref="A1:O1"/>
    <x:mergeCell ref="A2:O2"/>
  </x:mergeCells>
  <x:conditionalFormatting sqref="B5:M15">
    <x:cfRule type="colorScale" priority="1">
      <x:colorScale>
        <x:cfvo type="min"/>
        <x:cfvo type="percentile" val="50"/>
        <x:cfvo type="max"/>
        <x:color rgb="FFFDECEC"/>
        <x:color rgb="FFFFFFFF"/>
        <x:color rgb="FFE8F5F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bfe1969e794ff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48" hidden="0" customWidth="1"/>
    <x:col min="7" max="7" width="22" hidden="0" customWidth="1"/>
    <x:col min="8" max="8" width="28" hidden="0" customWidth="1"/>
    <x:col min="9" max="9" width="22" hidden="0" customWidth="1"/>
    <x:col min="10" max="10" width="20" hidden="0" customWidth="1"/>
    <x:col min="11" max="11" width="24" hidden="0" customWidth="1"/>
    <x:col min="12" max="12" width="27" hidden="0" customWidth="1"/>
    <x:col min="13" max="13" width="23" hidden="0" customWidth="1"/>
    <x:col min="14" max="14" width="14" hidden="0" customWidth="1"/>
    <x:col min="15" max="15" width="20" hidden="0" customWidth="1"/>
    <x:col min="16" max="16" width="18" hidden="0" customWidth="1"/>
    <x:col min="17" max="17" width="18" hidden="0" customWidth="1"/>
  </x:cols>
  <x:sheetData>
    <x:row r="1" ht="30" customHeight="1">
      <x:c r="A1" s="129" t="str">
        <x:v>Balanced-Preset Demonstration Optimizer Outputs</x:v>
      </x:c>
    </x:row>
    <x:row r="2" ht="38" customHeight="1">
      <x:c r="A2" s="73" t="str">
        <x:v>Every figure on this sheet is a model output from demo-milp-v1, not an observed post-event outcome. Unspent budget is formula-derived. Assumption and sensitivity controls must accompany public display.</x:v>
      </x:c>
    </x:row>
    <x:row r="4">
      <x:c r="A4" s="76" t="str">
        <x:v>host_region</x:v>
      </x:c>
      <x:c r="B4" s="76" t="str">
        <x:v>budget_usd</x:v>
      </x:c>
      <x:c r="C4" s="76" t="str">
        <x:v>spent_usd</x:v>
      </x:c>
      <x:c r="D4" s="76" t="str">
        <x:v>unspent_usd</x:v>
      </x:c>
      <x:c r="E4" s="76" t="str">
        <x:v>objective_score</x:v>
      </x:c>
      <x:c r="F4" s="76" t="str">
        <x:v>selected_quantities_json</x:v>
      </x:c>
      <x:c r="G4" s="76" t="str">
        <x:v>passenger_hours_saved</x:v>
      </x:c>
      <x:c r="H4" s="76" t="str">
        <x:v>avg_minutes_saved_per_attendee</x:v>
      </x:c>
      <x:c r="I4" s="76" t="str">
        <x:v>vehicle_hours_avoided</x:v>
      </x:c>
      <x:c r="J4" s="76" t="str">
        <x:v>co2_tonnes_avoided</x:v>
      </x:c>
      <x:c r="K4" s="76" t="str">
        <x:v>accessible_trips_improved</x:v>
      </x:c>
      <x:c r="L4" s="76" t="str">
        <x:v>reliability_risk_pp_reduction</x:v>
      </x:c>
      <x:c r="M4" s="76" t="str">
        <x:v>next_best_intervention</x:v>
      </x:c>
      <x:c r="N4" s="76" t="str">
        <x:v>next_unit_no</x:v>
      </x:c>
      <x:c r="O4" s="76" t="str">
        <x:v>next_unit_cost_usd</x:v>
      </x:c>
      <x:c r="P4" s="76" t="str">
        <x:v>evidence_class</x:v>
      </x:c>
      <x:c r="Q4" s="76" t="str">
        <x:v>model_version</x:v>
      </x:c>
    </x:row>
    <x:row r="5">
      <x:c r="A5" s="78" t="str">
        <x:v>Atlanta</x:v>
      </x:c>
      <x:c r="B5" s="81" t="n">
        <x:v>9391018</x:v>
      </x:c>
      <x:c r="C5" s="81" t="n">
        <x:v>9390000</x:v>
      </x:c>
      <x:c r="D5" s="81" t="n">
        <x:f>B5-C5</x:f>
        <x:v>1018</x:v>
      </x:c>
      <x:c r="E5" s="97" t="n">
        <x:v>13.867659707802</x:v>
      </x:c>
      <x:c r="F5" s="78" t="str">
        <x:v>{"service":4,"buslane":3,"signals":4,"hub":1,"tnc":1,"wayfinding":2,"station":2,"toc":2}</x:v>
      </x:c>
      <x:c r="G5" s="96" t="n">
        <x:v>45312.785622</x:v>
      </x:c>
      <x:c r="H5" s="96" t="n">
        <x:v>5.005260000000001</x:v>
      </x:c>
      <x:c r="I5" s="96" t="n">
        <x:v>101539.72717000001</x:v>
      </x:c>
      <x:c r="J5" s="96" t="n">
        <x:v>611.6457456440003</x:v>
      </x:c>
      <x:c r="K5" s="96" t="n">
        <x:v>151328.33247199998</x:v>
      </x:c>
      <x:c r="L5" s="96" t="n">
        <x:v>23.895119362</x:v>
      </x:c>
      <x:c r="M5" s="78" t="str">
        <x:v>tnc</x:v>
      </x:c>
      <x:c r="N5" s="78" t="n">
        <x:v>2</x:v>
      </x:c>
      <x:c r="O5" s="81" t="n">
        <x:v>400000</x:v>
      </x:c>
      <x:c r="P5" s="78" t="str">
        <x:v>model_output</x:v>
      </x:c>
      <x:c r="Q5" s="78" t="str">
        <x:v>demo-milp-v1</x:v>
      </x:c>
    </x:row>
    <x:row r="6">
      <x:c r="A6" s="78" t="str">
        <x:v>Boston</x:v>
      </x:c>
      <x:c r="B6" s="81" t="n">
        <x:v>8671598</x:v>
      </x:c>
      <x:c r="C6" s="81" t="n">
        <x:v>8660000</x:v>
      </x:c>
      <x:c r="D6" s="81" t="n">
        <x:f>B6-C6</x:f>
        <x:v>11598</x:v>
      </x:c>
      <x:c r="E6" s="97" t="n">
        <x:v>13.67036400296</x:v>
      </x:c>
      <x:c r="F6" s="78" t="str">
        <x:v>{"service":3,"buslane":4,"signals":3,"hub":3,"parkride":1,"tnc":2,"wayfinding":1,"toc":2}</x:v>
      </x:c>
      <x:c r="G6" s="96" t="n">
        <x:v>43558.654955</x:v>
      </x:c>
      <x:c r="H6" s="96" t="n">
        <x:v>5.8431</x:v>
      </x:c>
      <x:c r="I6" s="96" t="n">
        <x:v>116993.130612</x:v>
      </x:c>
      <x:c r="J6" s="96" t="n">
        <x:v>706.6489932100001</x:v>
      </x:c>
      <x:c r="K6" s="96" t="n">
        <x:v>138414.40804799998</x:v>
      </x:c>
      <x:c r="L6" s="96" t="n">
        <x:v>19.370216511200002</x:v>
      </x:c>
      <x:c r="M6" s="78" t="str">
        <x:v>signals</x:v>
      </x:c>
      <x:c r="N6" s="78" t="n">
        <x:v>4</x:v>
      </x:c>
      <x:c r="O6" s="81" t="n">
        <x:v>90000</x:v>
      </x:c>
      <x:c r="P6" s="78" t="str">
        <x:v>model_output</x:v>
      </x:c>
      <x:c r="Q6" s="78" t="str">
        <x:v>demo-milp-v1</x:v>
      </x:c>
    </x:row>
    <x:row r="7">
      <x:c r="A7" s="78" t="str">
        <x:v>Dallas</x:v>
      </x:c>
      <x:c r="B7" s="81" t="n">
        <x:v>10033037</x:v>
      </x:c>
      <x:c r="C7" s="81" t="n">
        <x:v>9850000</x:v>
      </x:c>
      <x:c r="D7" s="81" t="n">
        <x:f>B7-C7</x:f>
        <x:v>183037</x:v>
      </x:c>
      <x:c r="E7" s="97" t="n">
        <x:v>23.881737829239995</x:v>
      </x:c>
      <x:c r="F7" s="78" t="str">
        <x:v>{"service":4,"buslane":4,"signals":4,"hub":3,"parkride":2,"tnc":3,"toc":2}</x:v>
      </x:c>
      <x:c r="G7" s="96" t="n">
        <x:v>76155.21203866665</x:v>
      </x:c>
      <x:c r="H7" s="96" t="n">
        <x:v>7.222359999999998</x:v>
      </x:c>
      <x:c r="I7" s="96" t="n">
        <x:v>221193.81908800005</x:v>
      </x:c>
      <x:c r="J7" s="96" t="n">
        <x:v>1220.7845951999996</x:v>
      </x:c>
      <x:c r="K7" s="96" t="n">
        <x:v>225118.85413599998</x:v>
      </x:c>
      <x:c r="L7" s="96" t="n">
        <x:v>33.3319240024</x:v>
      </x:c>
      <x:c r="M7" s="78" t="str">
        <x:v>wayfinding</x:v>
      </x:c>
      <x:c r="N7" s="78" t="n">
        <x:v>1</x:v>
      </x:c>
      <x:c r="O7" s="81" t="n">
        <x:v>300000</x:v>
      </x:c>
      <x:c r="P7" s="78" t="str">
        <x:v>model_output</x:v>
      </x:c>
      <x:c r="Q7" s="78" t="str">
        <x:v>demo-milp-v1</x:v>
      </x:c>
    </x:row>
    <x:row r="8">
      <x:c r="A8" s="78" t="str">
        <x:v>Houston</x:v>
      </x:c>
      <x:c r="B8" s="81" t="n">
        <x:v>9092387</x:v>
      </x:c>
      <x:c r="C8" s="81" t="n">
        <x:v>9000000</x:v>
      </x:c>
      <x:c r="D8" s="81" t="n">
        <x:f>B8-C8</x:f>
        <x:v>92387</x:v>
      </x:c>
      <x:c r="E8" s="97" t="n">
        <x:v>13.977640237696</x:v>
      </x:c>
      <x:c r="F8" s="78" t="str">
        <x:v>{"service":2,"buslane":4,"signals":4,"hub":2,"parkride":1,"tnc":2,"wayfinding":2,"station":1,"toc":2}</x:v>
      </x:c>
      <x:c r="G8" s="96" t="n">
        <x:v>44339.04224266667</x:v>
      </x:c>
      <x:c r="H8" s="96" t="n">
        <x:v>5.55358</x:v>
      </x:c>
      <x:c r="I8" s="96" t="n">
        <x:v>124652.748976</x:v>
      </x:c>
      <x:c r="J8" s="96" t="n">
        <x:v>658.2742776319999</x:v>
      </x:c>
      <x:c r="K8" s="96" t="n">
        <x:v>141180.31104000003</x:v>
      </x:c>
      <x:c r="L8" s="96" t="n">
        <x:v>20.723786577600002</x:v>
      </x:c>
      <x:c r="M8" s="78" t="str">
        <x:v>service</x:v>
      </x:c>
      <x:c r="N8" s="78" t="n">
        <x:v>3</x:v>
      </x:c>
      <x:c r="O8" s="81" t="n">
        <x:v>550000</x:v>
      </x:c>
      <x:c r="P8" s="78" t="str">
        <x:v>model_output</x:v>
      </x:c>
      <x:c r="Q8" s="78" t="str">
        <x:v>demo-milp-v1</x:v>
      </x:c>
    </x:row>
    <x:row r="9">
      <x:c r="A9" s="78" t="str">
        <x:v>Kansas City</x:v>
      </x:c>
      <x:c r="B9" s="81" t="n">
        <x:v>8632123</x:v>
      </x:c>
      <x:c r="C9" s="81" t="n">
        <x:v>8550000</x:v>
      </x:c>
      <x:c r="D9" s="81" t="n">
        <x:f>B9-C9</x:f>
        <x:v>82123</x:v>
      </x:c>
      <x:c r="E9" s="97" t="n">
        <x:v>14.70056620824</x:v>
      </x:c>
      <x:c r="F9" s="78" t="str">
        <x:v>{"service":3,"buslane":4,"signals":4,"hub":3,"parkride":2,"tnc":3,"toc":1}</x:v>
      </x:c>
      <x:c r="G9" s="96" t="n">
        <x:v>47080.68278166666</x:v>
      </x:c>
      <x:c r="H9" s="96" t="n">
        <x:v>6.8530999999999995</x:v>
      </x:c>
      <x:c r="I9" s="96" t="n">
        <x:v>135075.139106</x:v>
      </x:c>
      <x:c r="J9" s="96" t="n">
        <x:v>746.5748287999999</x:v>
      </x:c>
      <x:c r="K9" s="96" t="n">
        <x:v>141986.06754000002</x:v>
      </x:c>
      <x:c r="L9" s="96" t="n">
        <x:v>20.069804430399998</x:v>
      </x:c>
      <x:c r="M9" s="78" t="str">
        <x:v>toc</x:v>
      </x:c>
      <x:c r="N9" s="78" t="n">
        <x:v>2</x:v>
      </x:c>
      <x:c r="O9" s="81" t="n">
        <x:v>750000</x:v>
      </x:c>
      <x:c r="P9" s="78" t="str">
        <x:v>model_output</x:v>
      </x:c>
      <x:c r="Q9" s="78" t="str">
        <x:v>demo-milp-v1</x:v>
      </x:c>
    </x:row>
    <x:row r="10">
      <x:c r="A10" s="78" t="str">
        <x:v>Los Angeles</x:v>
      </x:c>
      <x:c r="B10" s="81" t="n">
        <x:v>9603284</x:v>
      </x:c>
      <x:c r="C10" s="81" t="n">
        <x:v>9600000</x:v>
      </x:c>
      <x:c r="D10" s="81" t="n">
        <x:f>B10-C10</x:f>
        <x:v>3284</x:v>
      </x:c>
      <x:c r="E10" s="97" t="n">
        <x:v>21.507892000000002</x:v>
      </x:c>
      <x:c r="F10" s="78" t="str">
        <x:v>{"service":3,"buslane":4,"signals":4,"hub":3,"parkride":2,"tnc":3,"wayfinding":1,"toc":2}</x:v>
      </x:c>
      <x:c r="G10" s="96" t="n">
        <x:v>68201.65333333334</x:v>
      </x:c>
      <x:c r="H10" s="96" t="n">
        <x:v>7.30732</x:v>
      </x:c>
      <x:c r="I10" s="96" t="n">
        <x:v>202063.68</x:v>
      </x:c>
      <x:c r="J10" s="96" t="n">
        <x:v>1071.6552</x:v>
      </x:c>
      <x:c r="K10" s="96" t="n">
        <x:v>205253.44000000006</x:v>
      </x:c>
      <x:c r="L10" s="96" t="n">
        <x:v>29.981168000000004</x:v>
      </x:c>
      <x:c r="M10" s="78" t="str">
        <x:v>service</x:v>
      </x:c>
      <x:c r="N10" s="78" t="n">
        <x:v>4</x:v>
      </x:c>
      <x:c r="O10" s="81" t="n">
        <x:v>550000</x:v>
      </x:c>
      <x:c r="P10" s="78" t="str">
        <x:v>model_output</x:v>
      </x:c>
      <x:c r="Q10" s="78" t="str">
        <x:v>demo-milp-v1</x:v>
      </x:c>
    </x:row>
    <x:row r="11">
      <x:c r="A11" s="78" t="str">
        <x:v>Miami</x:v>
      </x:c>
      <x:c r="B11" s="81" t="n">
        <x:v>8697430</x:v>
      </x:c>
      <x:c r="C11" s="81" t="n">
        <x:v>8660000</x:v>
      </x:c>
      <x:c r="D11" s="81" t="n">
        <x:f>B11-C11</x:f>
        <x:v>37430</x:v>
      </x:c>
      <x:c r="E11" s="97" t="n">
        <x:v>15.570292407629998</x:v>
      </x:c>
      <x:c r="F11" s="78" t="str">
        <x:v>{"service":3,"buslane":4,"signals":3,"hub":3,"parkride":1,"tnc":2,"wayfinding":1,"toc":2}</x:v>
      </x:c>
      <x:c r="G11" s="96" t="n">
        <x:v>49262.491726999986</x:v>
      </x:c>
      <x:c r="H11" s="96" t="n">
        <x:v>6.580659999999998</x:v>
      </x:c>
      <x:c r="I11" s="96" t="n">
        <x:v>141811.44129600003</x:v>
      </x:c>
      <x:c r="J11" s="96" t="n">
        <x:v>786.5188227000002</x:v>
      </x:c>
      <x:c r="K11" s="96" t="n">
        <x:v>151430.58760799997</x:v>
      </x:c>
      <x:c r="L11" s="96" t="n">
        <x:v>22.032138995399997</x:v>
      </x:c>
      <x:c r="M11" s="78" t="str">
        <x:v>signals</x:v>
      </x:c>
      <x:c r="N11" s="78" t="n">
        <x:v>4</x:v>
      </x:c>
      <x:c r="O11" s="81" t="n">
        <x:v>90000</x:v>
      </x:c>
      <x:c r="P11" s="78" t="str">
        <x:v>model_output</x:v>
      </x:c>
      <x:c r="Q11" s="78" t="str">
        <x:v>demo-milp-v1</x:v>
      </x:c>
    </x:row>
    <x:row r="12">
      <x:c r="A12" s="78" t="str">
        <x:v>New York/New Jersey</x:v>
      </x:c>
      <x:c r="B12" s="81" t="n">
        <x:v>10438681</x:v>
      </x:c>
      <x:c r="C12" s="81" t="n">
        <x:v>10330000</x:v>
      </x:c>
      <x:c r="D12" s="81" t="n">
        <x:f>B12-C12</x:f>
        <x:v>108681</x:v>
      </x:c>
      <x:c r="E12" s="97" t="n">
        <x:v>20.571448514954994</x:v>
      </x:c>
      <x:c r="F12" s="78" t="str">
        <x:v>{"service":3,"buslane":2,"signals":4,"hub":2,"ped":1,"tnc":3,"wayfinding":1,"station":2,"toc":2}</x:v>
      </x:c>
      <x:c r="G12" s="96" t="n">
        <x:v>65647.68604333333</x:v>
      </x:c>
      <x:c r="H12" s="96" t="n">
        <x:v>6.34732</x:v>
      </x:c>
      <x:c r="I12" s="96" t="n">
        <x:v>180671.485475</x:v>
      </x:c>
      <x:c r="J12" s="96" t="n">
        <x:v>791.5377602599998</x:v>
      </x:c>
      <x:c r="K12" s="96" t="n">
        <x:v>220195.25397999995</x:v>
      </x:c>
      <x:c r="L12" s="96" t="n">
        <x:v>33.678512737999995</x:v>
      </x:c>
      <x:c r="M12" s="78" t="str">
        <x:v>buslane</x:v>
      </x:c>
      <x:c r="N12" s="78" t="n">
        <x:v>3</x:v>
      </x:c>
      <x:c r="O12" s="81" t="n">
        <x:v>360000</x:v>
      </x:c>
      <x:c r="P12" s="78" t="str">
        <x:v>model_output</x:v>
      </x:c>
      <x:c r="Q12" s="78" t="str">
        <x:v>demo-milp-v1</x:v>
      </x:c>
    </x:row>
    <x:row r="13">
      <x:c r="A13" s="78" t="str">
        <x:v>Philadelphia</x:v>
      </x:c>
      <x:c r="B13" s="81" t="n">
        <x:v>8474327</x:v>
      </x:c>
      <x:c r="C13" s="81" t="n">
        <x:v>8450000</x:v>
      </x:c>
      <x:c r="D13" s="81" t="n">
        <x:f>B13-C13</x:f>
        <x:v>24327</x:v>
      </x:c>
      <x:c r="E13" s="97" t="n">
        <x:v>10.291853329283999</x:v>
      </x:c>
      <x:c r="F13" s="78" t="str">
        <x:v>{"service":3,"buslane":3,"signals":3,"hub":1,"tnc":1,"wayfinding":1,"station":2,"toc":2}</x:v>
      </x:c>
      <x:c r="G13" s="96" t="n">
        <x:v>33871.245830666674</x:v>
      </x:c>
      <x:c r="H13" s="96" t="n">
        <x:v>4.982360000000001</x:v>
      </x:c>
      <x:c r="I13" s="96" t="n">
        <x:v>75230.337784</x:v>
      </x:c>
      <x:c r="J13" s="96" t="n">
        <x:v>456.907358828</x:v>
      </x:c>
      <x:c r="K13" s="96" t="n">
        <x:v>111485.58808000002</x:v>
      </x:c>
      <x:c r="L13" s="96" t="n">
        <x:v>17.6224892184</x:v>
      </x:c>
      <x:c r="M13" s="78" t="str">
        <x:v>signals</x:v>
      </x:c>
      <x:c r="N13" s="78" t="n">
        <x:v>4</x:v>
      </x:c>
      <x:c r="O13" s="81" t="n">
        <x:v>90000</x:v>
      </x:c>
      <x:c r="P13" s="78" t="str">
        <x:v>model_output</x:v>
      </x:c>
      <x:c r="Q13" s="78" t="str">
        <x:v>demo-milp-v1</x:v>
      </x:c>
    </x:row>
    <x:row r="14">
      <x:c r="A14" s="78" t="str">
        <x:v>San Francisco Bay Area</x:v>
      </x:c>
      <x:c r="B14" s="81" t="n">
        <x:v>8807888</x:v>
      </x:c>
      <x:c r="C14" s="81" t="n">
        <x:v>8800000</x:v>
      </x:c>
      <x:c r="D14" s="81" t="n">
        <x:f>B14-C14</x:f>
        <x:v>7888</x:v>
      </x:c>
      <x:c r="E14" s="97" t="n">
        <x:v>11.234319389999998</x:v>
      </x:c>
      <x:c r="F14" s="78" t="str">
        <x:v>{"service":3,"buslane":4,"signals":4,"hub":1,"parkride":1,"tnc":2,"wayfinding":2,"station":1,"toc":2}</x:v>
      </x:c>
      <x:c r="G14" s="96" t="n">
        <x:v>36070.29666666667</x:v>
      </x:c>
      <x:c r="H14" s="96" t="n">
        <x:v>5.278580000000001</x:v>
      </x:c>
      <x:c r="I14" s="96" t="n">
        <x:v>95242.59</x:v>
      </x:c>
      <x:c r="J14" s="96" t="n">
        <x:v>501.26517999999993</x:v>
      </x:c>
      <x:c r="K14" s="96" t="n">
        <x:v>115108.31999999999</x:v>
      </x:c>
      <x:c r="L14" s="96" t="n">
        <x:v>18.009660000000004</x:v>
      </x:c>
      <x:c r="M14" s="78" t="str">
        <x:v>station</x:v>
      </x:c>
      <x:c r="N14" s="78" t="n">
        <x:v>2</x:v>
      </x:c>
      <x:c r="O14" s="81" t="n">
        <x:v>1250000</x:v>
      </x:c>
      <x:c r="P14" s="78" t="str">
        <x:v>model_output</x:v>
      </x:c>
      <x:c r="Q14" s="78" t="str">
        <x:v>demo-milp-v1</x:v>
      </x:c>
    </x:row>
    <x:row r="15">
      <x:c r="A15" s="78" t="str">
        <x:v>Seattle</x:v>
      </x:c>
      <x:c r="B15" s="81" t="n">
        <x:v>8408439</x:v>
      </x:c>
      <x:c r="C15" s="81" t="n">
        <x:v>8390000</x:v>
      </x:c>
      <x:c r="D15" s="81" t="n">
        <x:f>B15-C15</x:f>
        <x:v>18439</x:v>
      </x:c>
      <x:c r="E15" s="97" t="n">
        <x:v>10.078593182372</x:v>
      </x:c>
      <x:c r="F15" s="78" t="str">
        <x:v>{"service":3,"buslane":3,"signals":4,"ped":1,"tnc":1,"wayfinding":1,"station":2,"toc":2}</x:v>
      </x:c>
      <x:c r="G15" s="96" t="n">
        <x:v>32576.257428000004</x:v>
      </x:c>
      <x:c r="H15" s="96" t="n">
        <x:v>4.892040000000001</x:v>
      </x:c>
      <x:c r="I15" s="96" t="n">
        <x:v>75597.34182000002</x:v>
      </x:c>
      <x:c r="J15" s="96" t="n">
        <x:v>441.9541823840001</x:v>
      </x:c>
      <x:c r="K15" s="96" t="n">
        <x:v>109779.75808799999</x:v>
      </x:c>
      <x:c r="L15" s="96" t="n">
        <x:v>17.3533875944</x:v>
      </x:c>
      <x:c r="M15" s="78" t="str">
        <x:v>wayfinding</x:v>
      </x:c>
      <x:c r="N15" s="78" t="n">
        <x:v>2</x:v>
      </x:c>
      <x:c r="O15" s="81" t="n">
        <x:v>300000</x:v>
      </x:c>
      <x:c r="P15" s="78" t="str">
        <x:v>model_output</x:v>
      </x:c>
      <x:c r="Q15" s="78" t="str">
        <x:v>demo-milp-v1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4b517ac6f02545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7" hidden="0" customWidth="1"/>
    <x:col min="4" max="4" width="40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15" hidden="0" customWidth="1"/>
    <x:col min="12" max="12" width="55" hidden="0" customWidth="1"/>
    <x:col min="13" max="13" width="22" hidden="0" customWidth="1"/>
    <x:col min="14" max="14" width="22" hidden="0" customWidth="1"/>
    <x:col min="15" max="15" width="22" hidden="0" customWidth="1"/>
    <x:col min="16" max="16" width="42" hidden="0" customWidth="1"/>
    <x:col min="17" max="17" width="42" hidden="0" customWidth="1"/>
  </x:cols>
  <x:sheetData>
    <x:row r="1" ht="30" customHeight="1">
      <x:c r="A1" s="129" t="str">
        <x:v>New York/New Jersey 3D Legacy Project Registry</x:v>
      </x:c>
    </x:row>
    <x:row r="2" ht="38" customHeight="1">
      <x:c r="A2" s="73" t="str">
        <x:v>Coordinates and dimensions are conceptual showcase anchors, not surveyed engineering designs. The application must show only project IDs returned by the optimizer.</x:v>
      </x:c>
    </x:row>
    <x:row r="4">
      <x:c r="A4" s="76" t="str">
        <x:v>project_id</x:v>
      </x:c>
      <x:c r="B4" s="76" t="str">
        <x:v>city_id</x:v>
      </x:c>
      <x:c r="C4" s="76" t="str">
        <x:v>intervention_id</x:v>
      </x:c>
      <x:c r="D4" s="76" t="str">
        <x:v>project_name</x:v>
      </x:c>
      <x:c r="E4" s="76" t="str">
        <x:v>visual_type</x:v>
      </x:c>
      <x:c r="F4" s="76" t="str">
        <x:v>latitude</x:v>
      </x:c>
      <x:c r="G4" s="76" t="str">
        <x:v>longitude</x:v>
      </x:c>
      <x:c r="H4" s="76" t="str">
        <x:v>bearing_deg</x:v>
      </x:c>
      <x:c r="I4" s="76" t="str">
        <x:v>useful_life_years</x:v>
      </x:c>
      <x:c r="J4" s="76" t="str">
        <x:v>quantity</x:v>
      </x:c>
      <x:c r="K4" s="76" t="str">
        <x:v>unit</x:v>
      </x:c>
      <x:c r="L4" s="76" t="str">
        <x:v>conceptual_design</x:v>
      </x:c>
      <x:c r="M4" s="76" t="str">
        <x:v>implementation_status</x:v>
      </x:c>
      <x:c r="N4" s="76" t="str">
        <x:v>evidence_class</x:v>
      </x:c>
      <x:c r="O4" s="76" t="str">
        <x:v>evidence_source_id</x:v>
      </x:c>
      <x:c r="P4" s="76" t="str">
        <x:v>geometry_url</x:v>
      </x:c>
      <x:c r="Q4" s="76" t="str">
        <x:v>model_url</x:v>
      </x:c>
    </x:row>
    <x:row r="5">
      <x:c r="A5" s="78" t="str">
        <x:v>nynj-ped-corridor-01</x:v>
      </x:c>
      <x:c r="B5" s="78" t="str">
        <x:v>nynj</x:v>
      </x:c>
      <x:c r="C5" s="78" t="str">
        <x:v>ped</x:v>
      </x:c>
      <x:c r="D5" s="78" t="str">
        <x:v>American Dream protected pedestrian connection</x:v>
      </x:c>
      <x:c r="E5" s="78" t="str">
        <x:v>polygon_extrusion</x:v>
      </x:c>
      <x:c r="F5" s="98" t="n">
        <x:v>40.81145</x:v>
      </x:c>
      <x:c r="G5" s="98" t="n">
        <x:v>-74.07075</x:v>
      </x:c>
      <x:c r="H5" s="99" t="n">
        <x:v>0</x:v>
      </x:c>
      <x:c r="I5" s="99" t="n">
        <x:v>15</x:v>
      </x:c>
      <x:c r="J5" s="99" t="n">
        <x:v>0.55</x:v>
      </x:c>
      <x:c r="K5" s="78" t="str">
        <x:v>mile</x:v>
      </x:c>
      <x:c r="L5" s="78" t="str">
        <x:v>Widened 16 m conceptual corridor with separation and lighting</x:v>
      </x:c>
      <x:c r="M5" s="78" t="str">
        <x:v>modeled_proposal</x:v>
      </x:c>
      <x:c r="N5" s="78" t="str">
        <x:v>engineering_assumption</x:v>
      </x:c>
      <x:c r="O5" s="78" t="str">
        <x:v>njt-aar-2026</x:v>
      </x:c>
      <x:c r="P5" s="78" t="str">
        <x:v>geojson/nynj-pedestrian-corridor.geojson</x:v>
      </x:c>
      <x:c r="Q5" s="78"/>
    </x:row>
    <x:row r="6">
      <x:c r="A6" s="78" t="str">
        <x:v>nynj-tnc-hub-01</x:v>
      </x:c>
      <x:c r="B6" s="78" t="str">
        <x:v>nynj</x:v>
      </x:c>
      <x:c r="C6" s="78" t="str">
        <x:v>tnc</x:v>
      </x:c>
      <x:c r="D6" s="78" t="str">
        <x:v>Consolidated managed mobility hub</x:v>
      </x:c>
      <x:c r="E6" s="78" t="str">
        <x:v>glb_model</x:v>
      </x:c>
      <x:c r="F6" s="98" t="n">
        <x:v>40.8112</x:v>
      </x:c>
      <x:c r="G6" s="98" t="n">
        <x:v>-74.0665</x:v>
      </x:c>
      <x:c r="H6" s="99" t="n">
        <x:v>285</x:v>
      </x:c>
      <x:c r="I6" s="99" t="n">
        <x:v>10</x:v>
      </x:c>
      <x:c r="J6" s="99" t="n">
        <x:v>1</x:v>
      </x:c>
      <x:c r="K6" s="78" t="str">
        <x:v>hub</x:v>
      </x:c>
      <x:c r="L6" s="78" t="str">
        <x:v>12 loading bays, 2 accessible bays, managed queue and shelters</x:v>
      </x:c>
      <x:c r="M6" s="78" t="str">
        <x:v>modeled_proposal</x:v>
      </x:c>
      <x:c r="N6" s="78" t="str">
        <x:v>engineering_assumption</x:v>
      </x:c>
      <x:c r="O6" s="78" t="str">
        <x:v>njt-aar-2026</x:v>
      </x:c>
      <x:c r="P6" s="78" t="str">
        <x:v>geojson/nynj-mobility-hub.geojson</x:v>
      </x:c>
      <x:c r="Q6" s="78" t="str">
        <x:v>models/nynj-mobility-hub.glb</x:v>
      </x:c>
    </x:row>
    <x:row r="7">
      <x:c r="A7" s="78" t="str">
        <x:v>nynj-bus-priority-01</x:v>
      </x:c>
      <x:c r="B7" s="78" t="str">
        <x:v>nynj</x:v>
      </x:c>
      <x:c r="C7" s="78" t="str">
        <x:v>buslane</x:v>
      </x:c>
      <x:c r="D7" s="78" t="str">
        <x:v>Meadowlands transit-priority corridor</x:v>
      </x:c>
      <x:c r="E7" s="78" t="str">
        <x:v>line_extrusion</x:v>
      </x:c>
      <x:c r="F7" s="98" t="n">
        <x:v>40.8137</x:v>
      </x:c>
      <x:c r="G7" s="98" t="n">
        <x:v>-74.0726</x:v>
      </x:c>
      <x:c r="H7" s="99" t="n">
        <x:v>25</x:v>
      </x:c>
      <x:c r="I7" s="99" t="n">
        <x:v>10</x:v>
      </x:c>
      <x:c r="J7" s="99" t="n">
        <x:v>2</x:v>
      </x:c>
      <x:c r="K7" s="78" t="str">
        <x:v>lane-miles</x:v>
      </x:c>
      <x:c r="L7" s="78" t="str">
        <x:v>Dedicated/managed bus movement connected to station and venue</x:v>
      </x:c>
      <x:c r="M7" s="78" t="str">
        <x:v>modeled_proposal</x:v>
      </x:c>
      <x:c r="N7" s="78" t="str">
        <x:v>engineering_assumption</x:v>
      </x:c>
      <x:c r="O7" s="78" t="str">
        <x:v>njt-aar-2026</x:v>
      </x:c>
      <x:c r="P7" s="78" t="str">
        <x:v>geojson/nynj-bus-priority.geojson</x:v>
      </x:c>
      <x:c r="Q7" s="78"/>
    </x:row>
    <x:row r="8">
      <x:c r="A8" s="78" t="str">
        <x:v>nynj-station-capacity-01</x:v>
      </x:c>
      <x:c r="B8" s="78" t="str">
        <x:v>nynj</x:v>
      </x:c>
      <x:c r="C8" s="78" t="str">
        <x:v>station</x:v>
      </x:c>
      <x:c r="D8" s="78" t="str">
        <x:v>Meadowlands Station circulation package</x:v>
      </x:c>
      <x:c r="E8" s="78" t="str">
        <x:v>glb_model</x:v>
      </x:c>
      <x:c r="F8" s="98" t="n">
        <x:v>40.81455</x:v>
      </x:c>
      <x:c r="G8" s="98" t="n">
        <x:v>-74.0717</x:v>
      </x:c>
      <x:c r="H8" s="99" t="n">
        <x:v>8</x:v>
      </x:c>
      <x:c r="I8" s="99" t="n">
        <x:v>25</x:v>
      </x:c>
      <x:c r="J8" s="99" t="n">
        <x:v>1</x:v>
      </x:c>
      <x:c r="K8" s="78" t="str">
        <x:v>station</x:v>
      </x:c>
      <x:c r="L8" s="78" t="str">
        <x:v>Expanded queue channels, gates, barriers and accessible circulation</x:v>
      </x:c>
      <x:c r="M8" s="78" t="str">
        <x:v>modeled_proposal</x:v>
      </x:c>
      <x:c r="N8" s="78" t="str">
        <x:v>engineering_assumption</x:v>
      </x:c>
      <x:c r="O8" s="78" t="str">
        <x:v>njt-aar-2026</x:v>
      </x:c>
      <x:c r="P8" s="78" t="str">
        <x:v>geojson/nynj-station-capacity.geojson</x:v>
      </x:c>
      <x:c r="Q8" s="78" t="str">
        <x:v>models/nynj-station-capacity.glb</x:v>
      </x:c>
    </x:row>
    <x:row r="9">
      <x:c r="A9" s="78" t="str">
        <x:v>nynj-toc-01</x:v>
      </x:c>
      <x:c r="B9" s="78" t="str">
        <x:v>nynj</x:v>
      </x:c>
      <x:c r="C9" s="78" t="str">
        <x:v>toc</x:v>
      </x:c>
      <x:c r="D9" s="78" t="str">
        <x:v>Integrated Meadowlands traffic operations</x:v>
      </x:c>
      <x:c r="E9" s="78" t="str">
        <x:v>icon_layer</x:v>
      </x:c>
      <x:c r="F9" s="98" t="n">
        <x:v>40.8128</x:v>
      </x:c>
      <x:c r="G9" s="98" t="n">
        <x:v>-74.0699</x:v>
      </x:c>
      <x:c r="H9" s="99" t="n">
        <x:v>0</x:v>
      </x:c>
      <x:c r="I9" s="99" t="n">
        <x:v>10</x:v>
      </x:c>
      <x:c r="J9" s="99" t="n">
        <x:v>1</x:v>
      </x:c>
      <x:c r="K9" s="78" t="str">
        <x:v>package</x:v>
      </x:c>
      <x:c r="L9" s="78" t="str">
        <x:v>Signal control, lane management, incident response and dispatch</x:v>
      </x:c>
      <x:c r="M9" s="78" t="str">
        <x:v>modeled_proposal</x:v>
      </x:c>
      <x:c r="N9" s="78" t="str">
        <x:v>engineering_assumption</x:v>
      </x:c>
      <x:c r="O9" s="78" t="str">
        <x:v>njt-aar-2026</x:v>
      </x:c>
      <x:c r="P9" s="78" t="str">
        <x:v>geojson/nynj-toc.geojson</x:v>
      </x:c>
      <x:c r="Q9" s="78"/>
    </x:row>
    <x:row r="10">
      <x:c r="A10" s="78" t="str">
        <x:v>nynj-access-01</x:v>
      </x:c>
      <x:c r="B10" s="78" t="str">
        <x:v>nynj</x:v>
      </x:c>
      <x:c r="C10" s="78" t="str">
        <x:v>access</x:v>
      </x:c>
      <x:c r="D10" s="78" t="str">
        <x:v>Accessible first/last-mile network</x:v>
      </x:c>
      <x:c r="E10" s="78" t="str">
        <x:v>polygon_line</x:v>
      </x:c>
      <x:c r="F10" s="98" t="n">
        <x:v>40.81215</x:v>
      </x:c>
      <x:c r="G10" s="98" t="n">
        <x:v>-74.0701</x:v>
      </x:c>
      <x:c r="H10" s="99" t="n">
        <x:v>0</x:v>
      </x:c>
      <x:c r="I10" s="99" t="n">
        <x:v>15</x:v>
      </x:c>
      <x:c r="J10" s="99" t="n">
        <x:v>1</x:v>
      </x:c>
      <x:c r="K10" s="78" t="str">
        <x:v>package</x:v>
      </x:c>
      <x:c r="L10" s="78" t="str">
        <x:v>Accessible routes, ramps, pickup zone and tactile guidance</x:v>
      </x:c>
      <x:c r="M10" s="78" t="str">
        <x:v>modeled_proposal</x:v>
      </x:c>
      <x:c r="N10" s="78" t="str">
        <x:v>engineering_assumption</x:v>
      </x:c>
      <x:c r="O10" s="78" t="str">
        <x:v>njt-aar-2026</x:v>
      </x:c>
      <x:c r="P10" s="78" t="str">
        <x:v>geojson/nynj-access.geojson</x:v>
      </x:c>
      <x:c r="Q10" s="78"/>
    </x:row>
    <x:row r="11">
      <x:c r="A11" s="78" t="str">
        <x:v>nynj-wayfinding-01</x:v>
      </x:c>
      <x:c r="B11" s="78" t="str">
        <x:v>nynj</x:v>
      </x:c>
      <x:c r="C11" s="78" t="str">
        <x:v>wayfinding</x:v>
      </x:c>
      <x:c r="D11" s="78" t="str">
        <x:v>Multilingual venue navigation system</x:v>
      </x:c>
      <x:c r="E11" s="78" t="str">
        <x:v>point_icons</x:v>
      </x:c>
      <x:c r="F11" s="98" t="n">
        <x:v>40.8131</x:v>
      </x:c>
      <x:c r="G11" s="98" t="n">
        <x:v>-74.071</x:v>
      </x:c>
      <x:c r="H11" s="99" t="n">
        <x:v>0</x:v>
      </x:c>
      <x:c r="I11" s="99" t="n">
        <x:v>7</x:v>
      </x:c>
      <x:c r="J11" s="99" t="n">
        <x:v>1</x:v>
      </x:c>
      <x:c r="K11" s="78" t="str">
        <x:v>package</x:v>
      </x:c>
      <x:c r="L11" s="78" t="str">
        <x:v>Signs and digital cues at station, stadium, mall and curb decision points</x:v>
      </x:c>
      <x:c r="M11" s="78" t="str">
        <x:v>modeled_proposal</x:v>
      </x:c>
      <x:c r="N11" s="78" t="str">
        <x:v>engineering_assumption</x:v>
      </x:c>
      <x:c r="O11" s="78" t="str">
        <x:v>njt-aar-2026</x:v>
      </x:c>
      <x:c r="P11" s="78" t="str">
        <x:v>geojson/nynj-wayfinding.geojson</x:v>
      </x:c>
      <x:c r="Q11" s="78"/>
    </x:row>
    <x:row r="12">
      <x:c r="A12" s="78" t="str">
        <x:v>nynj-service-flow-01</x:v>
      </x:c>
      <x:c r="B12" s="78" t="str">
        <x:v>nynj</x:v>
      </x:c>
      <x:c r="C12" s="78" t="str">
        <x:v>service</x:v>
      </x:c>
      <x:c r="D12" s="78" t="str">
        <x:v>Illustrative rail and shuttle flow</x:v>
      </x:c>
      <x:c r="E12" s="78" t="str">
        <x:v>animated_route</x:v>
      </x:c>
      <x:c r="F12" s="98" t="n">
        <x:v>40.8138</x:v>
      </x:c>
      <x:c r="G12" s="98" t="n">
        <x:v>-74.0718</x:v>
      </x:c>
      <x:c r="H12" s="99" t="n">
        <x:v>0</x:v>
      </x:c>
      <x:c r="I12" s="99" t="n">
        <x:v>1</x:v>
      </x:c>
      <x:c r="J12" s="99" t="n">
        <x:v>2500</x:v>
      </x:c>
      <x:c r="K12" s="78" t="str">
        <x:v>vehicle-hours</x:v>
      </x:c>
      <x:c r="L12" s="78" t="str">
        <x:v>Animation is illustrative and not a validated microsimulation</x:v>
      </x:c>
      <x:c r="M12" s="78" t="str">
        <x:v>modeled_proposal</x:v>
      </x:c>
      <x:c r="N12" s="78" t="str">
        <x:v>engineering_assumption</x:v>
      </x:c>
      <x:c r="O12" s="78" t="str">
        <x:v>njt-aar-2026</x:v>
      </x:c>
      <x:c r="P12" s="78" t="str">
        <x:v>geojson/nynj-service-flow.geojson</x:v>
      </x:c>
      <x:c r="Q12" s="78"/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7570b6c1e55942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2" hidden="0" customWidth="1"/>
    <x:col min="3" max="3" width="36" hidden="0" customWidth="1"/>
    <x:col min="4" max="4" width="18" hidden="0" customWidth="1"/>
    <x:col min="5" max="5" width="18" hidden="0" customWidth="1"/>
    <x:col min="6" max="6" width="48" hidden="0" customWidth="1"/>
    <x:col min="7" max="7" width="72" hidden="0" customWidth="1"/>
  </x:cols>
  <x:sheetData>
    <x:row r="1" ht="30" customHeight="1">
      <x:c r="A1" s="129" t="str">
        <x:v>Source Registry</x:v>
      </x:c>
    </x:row>
    <x:row r="2" ht="38" customHeight="1">
      <x:c r="A2" s="73" t="str">
        <x:v>Plain-text URLs are included for auditability. Retrieved and verified against the research package on 2026-09-04 unless otherwise noted.</x:v>
      </x:c>
    </x:row>
    <x:row r="4">
      <x:c r="A4" s="76" t="str">
        <x:v>source_id</x:v>
      </x:c>
      <x:c r="B4" s="76" t="str">
        <x:v>title</x:v>
      </x:c>
      <x:c r="C4" s="76" t="str">
        <x:v>publisher</x:v>
      </x:c>
      <x:c r="D4" s="76" t="str">
        <x:v>publication_date</x:v>
      </x:c>
      <x:c r="E4" s="76" t="str">
        <x:v>document_type</x:v>
      </x:c>
      <x:c r="F4" s="76" t="str">
        <x:v>used_for</x:v>
      </x:c>
      <x:c r="G4" s="76" t="str">
        <x:v>url</x:v>
      </x:c>
    </x:row>
    <x:row r="5">
      <x:c r="A5" s="78" t="str">
        <x:v>fta-world-cup-2026</x:v>
      </x:c>
      <x:c r="B5" s="78" t="str">
        <x:v>FTA World Cup Funding Apportionment Table</x:v>
      </x:c>
      <x:c r="C5" s="78" t="str">
        <x:v>Federal Transit Administration</x:v>
      </x:c>
      <x:c r="D5" s="78" t="str">
        <x:v>2026-04-09</x:v>
      </x:c>
      <x:c r="E5" s="78" t="str">
        <x:v>xlsx</x:v>
      </x:c>
      <x:c r="F5" s="78" t="str">
        <x:v>Official allocation for 11 U.S. host regions</x:v>
      </x:c>
      <x:c r="G5" s="78" t="str">
        <x:v>https://www.transit.dot.gov/funding/apportionments/fta-world-cup-funding-apportionment-table</x:v>
      </x:c>
    </x:row>
    <x:row r="6">
      <x:c r="A6" s="78" t="str">
        <x:v>fifa-by-numbers</x:v>
      </x:c>
      <x:c r="B6" s="78" t="str">
        <x:v>FIFA World Cup 2026 by the numbers</x:v>
      </x:c>
      <x:c r="C6" s="78" t="str">
        <x:v>FIFA</x:v>
      </x:c>
      <x:c r="D6" s="78"/>
      <x:c r="E6" s="78" t="str">
        <x:v>html</x:v>
      </x:c>
      <x:c r="F6" s="78" t="str">
        <x:v>Tournament totals</x:v>
      </x:c>
      <x:c r="G6" s="78" t="str">
        <x:v>https://inside.fifa.com/tournament-organisation/fifa-world-cup-2026-by-the-numbers</x:v>
      </x:c>
    </x:row>
    <x:row r="7">
      <x:c r="A7" s="78" t="str">
        <x:v>fifa-fanfest-2026</x:v>
      </x:c>
      <x:c r="B7" s="78" t="str">
        <x:v>Fan Festival final results</x:v>
      </x:c>
      <x:c r="C7" s="78" t="str">
        <x:v>FIFA</x:v>
      </x:c>
      <x:c r="D7" s="78"/>
      <x:c r="E7" s="78" t="str">
        <x:v>html</x:v>
      </x:c>
      <x:c r="F7" s="78" t="str">
        <x:v>Fan-festival totals</x:v>
      </x:c>
      <x:c r="G7" s="78" t="str">
        <x:v>https://inside.fifa.com/organisation/media-releases/fan-festival-extends-historic-world-cup-2026-experience-millions-record-breaking-celebrations-host-countries</x:v>
      </x:c>
    </x:row>
    <x:row r="8">
      <x:c r="A8" s="78" t="str">
        <x:v>fifa-capacity-2026</x:v>
      </x:c>
      <x:c r="B8" s="78" t="str">
        <x:v>Final stadium capacities</x:v>
      </x:c>
      <x:c r="C8" s="78" t="str">
        <x:v>FIFA</x:v>
      </x:c>
      <x:c r="D8" s="78"/>
      <x:c r="E8" s="78" t="str">
        <x:v>html</x:v>
      </x:c>
      <x:c r="F8" s="78" t="str">
        <x:v>Venue capacity</x:v>
      </x:c>
      <x:c r="G8" s="78" t="str">
        <x:v>https://inside.fifa.com/organisation/news/fifa-world-cup-stadium-capacities-confirmed</x:v>
      </x:c>
    </x:row>
    <x:row r="9">
      <x:c r="A9" s="78" t="str">
        <x:v>njt-aar-2026</x:v>
      </x:c>
      <x:c r="B9" s="78" t="str">
        <x:v>New Jersey Interagency Transportation After Action Report</x:v>
      </x:c>
      <x:c r="C9" s="78" t="str">
        <x:v>NJ Transit</x:v>
      </x:c>
      <x:c r="D9" s="78" t="str">
        <x:v>2026-07-21</x:v>
      </x:c>
      <x:c r="E9" s="78" t="str">
        <x:v>html</x:v>
      </x:c>
      <x:c r="F9" s="78" t="str">
        <x:v>Match-level mode counts, egress times and lessons</x:v>
      </x:c>
      <x:c r="G9" s="78" t="str">
        <x:v>https://www.njtransit.com/press-releases/new-jersey-interagency-transportation-after-action-report-aar-njny-stadium-fifa</x:v>
      </x:c>
    </x:row>
    <x:row r="10">
      <x:c r="A10" s="78" t="str">
        <x:v>marta-post-2026</x:v>
      </x:c>
      <x:c r="B10" s="78" t="str">
        <x:v>MARTA Safely Moves Millions During FIFA World Cup 2026</x:v>
      </x:c>
      <x:c r="C10" s="78" t="str">
        <x:v>MARTA</x:v>
      </x:c>
      <x:c r="D10" s="78" t="str">
        <x:v>2026-07-17</x:v>
      </x:c>
      <x:c r="E10" s="78" t="str">
        <x:v>html</x:v>
      </x:c>
      <x:c r="F10" s="78" t="str">
        <x:v>Daily and station demand</x:v>
      </x:c>
      <x:c r="G10" s="78" t="str">
        <x:v>https://itsmarta.com/marta-safely-moves-millions.aspx</x:v>
      </x:c>
    </x:row>
    <x:row r="11">
      <x:c r="A11" s="78" t="str">
        <x:v>mass-post-2026</x:v>
      </x:c>
      <x:c r="B11" s="78" t="str">
        <x:v>Successful World Cup Operations Across Massachusetts</x:v>
      </x:c>
      <x:c r="C11" s="78" t="str">
        <x:v>Commonwealth of Massachusetts</x:v>
      </x:c>
      <x:c r="D11" s="78" t="str">
        <x:v>2026-07-13</x:v>
      </x:c>
      <x:c r="E11" s="78" t="str">
        <x:v>html</x:v>
      </x:c>
      <x:c r="F11" s="78" t="str">
        <x:v>MBTA/Keolis event-rail operations</x:v>
      </x:c>
      <x:c r="G11" s="78" t="str">
        <x:v>https://www.mass.gov/news/governor-healey-celebrates-successful-world-cup-operations-across-massachusetts</x:v>
      </x:c>
    </x:row>
    <x:row r="12">
      <x:c r="A12" s="78" t="str">
        <x:v>la-metro-post-2026</x:v>
      </x:c>
      <x:c r="B12" s="78" t="str">
        <x:v>Metro State of the Agency 2026</x:v>
      </x:c>
      <x:c r="C12" s="78" t="str">
        <x:v>Los Angeles County Metropolitan Transportation Authority</x:v>
      </x:c>
      <x:c r="D12" s="78" t="str">
        <x:v>2026-07-22</x:v>
      </x:c>
      <x:c r="E12" s="78" t="str">
        <x:v>html</x:v>
      </x:c>
      <x:c r="F12" s="78" t="str">
        <x:v>Direct stadium rides</x:v>
      </x:c>
      <x:c r="G12" s="78" t="str">
        <x:v>https://thesource.metro.net/metro-state-of-agency-celebrates-a-year-of-milestones-and-looking-ahead-to-another-transformative-year/</x:v>
      </x:c>
    </x:row>
    <x:row r="13">
      <x:c r="A13" s="78" t="str">
        <x:v>ca-post-2026</x:v>
      </x:c>
      <x:c r="B13" s="78" t="str">
        <x:v>From the 2026 FIFA World Cup to LA28</x:v>
      </x:c>
      <x:c r="C13" s="78" t="str">
        <x:v>State of California</x:v>
      </x:c>
      <x:c r="D13" s="78" t="str">
        <x:v>2026-07-27</x:v>
      </x:c>
      <x:c r="E13" s="78" t="str">
        <x:v>html</x:v>
      </x:c>
      <x:c r="F13" s="78" t="str">
        <x:v>California attendance and transit totals</x:v>
      </x:c>
      <x:c r="G13" s="78" t="str">
        <x:v>https://www.gov.ca.gov/2026/07/27/from-the-2026-fifa-world-cup-to-la28-california-is-ready/</x:v>
      </x:c>
    </x:row>
    <x:row r="14">
      <x:c r="A14" s="78" t="str">
        <x:v>vta-board-2026</x:v>
      </x:c>
      <x:c r="B14" s="78" t="str">
        <x:v>VTA Board Correspondence 07/17/2026</x:v>
      </x:c>
      <x:c r="C14" s="78" t="str">
        <x:v>Santa Clara Valley Transportation Authority</x:v>
      </x:c>
      <x:c r="D14" s="78" t="str">
        <x:v>2026-07-17</x:v>
      </x:c>
      <x:c r="E14" s="78" t="str">
        <x:v>pdf</x:v>
      </x:c>
      <x:c r="F14" s="78" t="str">
        <x:v>VTA stadium trips</x:v>
      </x:c>
      <x:c r="G14" s="78" t="str">
        <x:v>https://www.vta.org/sites/default/files/2026-07/Board%20Correspondence%2007_17_26.pdf</x:v>
      </x:c>
    </x:row>
    <x:row r="15">
      <x:c r="A15" s="78" t="str">
        <x:v>soundtransit-post-2026</x:v>
      </x:c>
      <x:c r="B15" s="78" t="str">
        <x:v>World Cup Daily and Monthly Ridership Records</x:v>
      </x:c>
      <x:c r="C15" s="78" t="str">
        <x:v>Sound Transit</x:v>
      </x:c>
      <x:c r="D15" s="78" t="str">
        <x:v>2026-07-10</x:v>
      </x:c>
      <x:c r="E15" s="78" t="str">
        <x:v>html</x:v>
      </x:c>
      <x:c r="F15" s="78" t="str">
        <x:v>Preliminary APC-based match-day boardings</x:v>
      </x:c>
      <x:c r="G15" s="78" t="str">
        <x:v>https://www.soundtransit.org/get-to-know-us/news-events/news-releases/sound-transit-set-all-time-records-daily-monthly-ridership</x:v>
      </x:c>
    </x:row>
    <x:row r="16">
      <x:c r="A16" s="78" t="str">
        <x:v>septa-plan-2026</x:v>
      </x:c>
      <x:c r="B16" s="78" t="str">
        <x:v>SEPTA Infrastructure Improvements and Preparations</x:v>
      </x:c>
      <x:c r="C16" s="78" t="str">
        <x:v>SEPTA</x:v>
      </x:c>
      <x:c r="D16" s="78"/>
      <x:c r="E16" s="78" t="str">
        <x:v>html</x:v>
      </x:c>
      <x:c r="F16" s="78" t="str">
        <x:v>Official plan; not final observed results</x:v>
      </x:c>
      <x:c r="G16" s="78" t="str">
        <x:v>https://wwww.septa.org/news/infrastructure-improvements-for-fifa/</x:v>
      </x:c>
    </x:row>
    <x:row r="17">
      <x:c r="A17" s="78" t="str">
        <x:v>miami-plan-2026</x:v>
      </x:c>
      <x:c r="B17" s="78" t="str">
        <x:v>Miami-Dade Transportation Plan</x:v>
      </x:c>
      <x:c r="C17" s="78" t="str">
        <x:v>Miami-Dade County</x:v>
      </x:c>
      <x:c r="D17" s="78" t="str">
        <x:v>2026-06-02</x:v>
      </x:c>
      <x:c r="E17" s="78" t="str">
        <x:v>html</x:v>
      </x:c>
      <x:c r="F17" s="78" t="str">
        <x:v>Official shuttle and mobility plan</x:v>
      </x:c>
      <x:c r="G17" s="78" t="str">
        <x:v>https://www.miamidade.gov/global/release.page?Mduid_release=rel178040771715787</x:v>
      </x:c>
    </x:row>
    <x:row r="18">
      <x:c r="A18" s="78" t="str">
        <x:v>ntd</x:v>
      </x:c>
      <x:c r="B18" s="78" t="str">
        <x:v>National Transit Database</x:v>
      </x:c>
      <x:c r="C18" s="78" t="str">
        <x:v>Federal Transit Administration</x:v>
      </x:c>
      <x:c r="D18" s="78"/>
      <x:c r="E18" s="78" t="str">
        <x:v>xlsx/csv</x:v>
      </x:c>
      <x:c r="F18" s="78" t="str">
        <x:v>Ridership, expenses, service and safety</x:v>
      </x:c>
      <x:c r="G18" s="78" t="str">
        <x:v>https://www.transit.dot.gov/ntd/ntd-data</x:v>
      </x:c>
    </x:row>
    <x:row r="19">
      <x:c r="A19" s="78" t="str">
        <x:v>gtfs</x:v>
      </x:c>
      <x:c r="B19" s="78" t="str">
        <x:v>GTFS Schedule Reference</x:v>
      </x:c>
      <x:c r="C19" s="78" t="str">
        <x:v>MobilityData GTFS community</x:v>
      </x:c>
      <x:c r="D19" s="78" t="str">
        <x:v>2026-04-27</x:v>
      </x:c>
      <x:c r="E19" s="78" t="str">
        <x:v>specification</x:v>
      </x:c>
      <x:c r="F19" s="78" t="str">
        <x:v>Routes, stops, trips, times and shapes</x:v>
      </x:c>
      <x:c r="G19" s="78" t="str">
        <x:v>https://gtfs.org/documentation/schedule/reference/</x:v>
      </x:c>
    </x:row>
    <x:row r="20">
      <x:c r="A20" s="78" t="str">
        <x:v>acs</x:v>
      </x:c>
      <x:c r="B20" s="78" t="str">
        <x:v>ACS Five-Year Data</x:v>
      </x:c>
      <x:c r="C20" s="78" t="str">
        <x:v>U.S. Census Bureau</x:v>
      </x:c>
      <x:c r="D20" s="78"/>
      <x:c r="E20" s="78" t="str">
        <x:v>api</x:v>
      </x:c>
      <x:c r="F20" s="78" t="str">
        <x:v>Resident demographics and equity</x:v>
      </x:c>
      <x:c r="G20" s="78" t="str">
        <x:v>https://www.census.gov/data/developers/data-sets/acs-5year.html</x:v>
      </x:c>
    </x:row>
    <x:row r="21">
      <x:c r="A21" s="78" t="str">
        <x:v>osm</x:v>
      </x:c>
      <x:c r="B21" s="78" t="str">
        <x:v>OpenStreetMap data export</x:v>
      </x:c>
      <x:c r="C21" s="78" t="str">
        <x:v>OpenStreetMap contributors</x:v>
      </x:c>
      <x:c r="D21" s="78"/>
      <x:c r="E21" s="78" t="str">
        <x:v>osm/geojson</x:v>
      </x:c>
      <x:c r="F21" s="78" t="str">
        <x:v>Roads, paths, buildings and transit geometry</x:v>
      </x:c>
      <x:c r="G21" s="78" t="str">
        <x:v>https://wiki.openstreetmap.org/wiki/Downloading_data</x:v>
      </x:c>
    </x:row>
    <x:row r="22">
      <x:c r="A22" s="78" t="str">
        <x:v>usgs-3dep</x:v>
      </x:c>
      <x:c r="B22" s="78" t="str">
        <x:v>3D Elevation Program</x:v>
      </x:c>
      <x:c r="C22" s="78" t="str">
        <x:v>U.S. Geological Survey</x:v>
      </x:c>
      <x:c r="D22" s="78"/>
      <x:c r="E22" s="78" t="str">
        <x:v>dem/lidar</x:v>
      </x:c>
      <x:c r="F22" s="78" t="str">
        <x:v>Terrain and elevation</x:v>
      </x:c>
      <x:c r="G22" s="78" t="str">
        <x:v>https://www.usgs.gov/the-national-map-data-delivery/gis-data-download</x:v>
      </x:c>
    </x:row>
    <x:row r="23">
      <x:c r="A23" s="78" t="str">
        <x:v>epa-moves</x:v>
      </x:c>
      <x:c r="B23" s="78" t="str">
        <x:v>MOtor Vehicle Emission Simulator</x:v>
      </x:c>
      <x:c r="C23" s="78" t="str">
        <x:v>U.S. Environmental Protection Agency</x:v>
      </x:c>
      <x:c r="D23" s="78"/>
      <x:c r="E23" s="78" t="str">
        <x:v>model</x:v>
      </x:c>
      <x:c r="F23" s="78" t="str">
        <x:v>Vehicle emission factors</x:v>
      </x:c>
      <x:c r="G23" s="78" t="str">
        <x:v>https://www.epa.gov/moves</x:v>
      </x:c>
    </x:row>
    <x:row r="24">
      <x:c r="A24" s="78" t="str">
        <x:v>fhwa-signals</x:v>
      </x:c>
      <x:c r="B24" s="78" t="str">
        <x:v>Traffic Signal Retiming Practices</x:v>
      </x:c>
      <x:c r="C24" s="78" t="str">
        <x:v>Federal Highway Administration</x:v>
      </x:c>
      <x:c r="D24" s="78"/>
      <x:c r="E24" s="78" t="str">
        <x:v>html</x:v>
      </x:c>
      <x:c r="F24" s="78" t="str">
        <x:v>Signal cost analog</x:v>
      </x:c>
      <x:c r="G24" s="78" t="str">
        <x:v>https://ops.fhwa.dot.gov/publications/fhwahop20002/ch2.htm</x:v>
      </x:c>
    </x:row>
    <x:row r="25">
      <x:c r="A25" s="78" t="str">
        <x:v>nacto-buslane</x:v>
      </x:c>
      <x:c r="B25" s="78" t="str">
        <x:v>Chicago Pop-Up Essential Bus Lanes</x:v>
      </x:c>
      <x:c r="C25" s="78" t="str">
        <x:v>NACTO</x:v>
      </x:c>
      <x:c r="D25" s="78"/>
      <x:c r="E25" s="78" t="str">
        <x:v>html</x:v>
      </x:c>
      <x:c r="F25" s="78" t="str">
        <x:v>Tactical bus-lane cost analog</x:v>
      </x:c>
      <x:c r="G25" s="78" t="str">
        <x:v>https://nacto.org/latest/pop-up-essential-bus-lanes-chicago/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c98489cce6e34b8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55" hidden="0" customWidth="1"/>
    <x:col min="4" max="4" width="22" hidden="0" customWidth="1"/>
    <x:col min="5" max="5" width="24" hidden="0" customWidth="1"/>
    <x:col min="6" max="6" width="58" hidden="0" customWidth="1"/>
  </x:cols>
  <x:sheetData>
    <x:row r="1" ht="30" customHeight="1">
      <x:c r="A1" s="129" t="str">
        <x:v>Data Dictionary and Evidence Rules</x:v>
      </x:c>
    </x:row>
    <x:row r="2" ht="38" customHeight="1">
      <x:c r="A2" s="73" t="str">
        <x:v>Use these definitions in the API and user interface. Evidence class is part of the data contract, not optional metadata.</x:v>
      </x:c>
    </x:row>
    <x:row r="4">
      <x:c r="A4" s="76" t="str">
        <x:v>sheet</x:v>
      </x:c>
      <x:c r="B4" s="76" t="str">
        <x:v>field_or_class</x:v>
      </x:c>
      <x:c r="C4" s="76" t="str">
        <x:v>definition</x:v>
      </x:c>
      <x:c r="D4" s="76" t="str">
        <x:v>data_type_or_unit</x:v>
      </x:c>
      <x:c r="E4" s="76" t="str">
        <x:v>evidence_class</x:v>
      </x:c>
      <x:c r="F4" s="76" t="str">
        <x:v>implementation_rule</x:v>
      </x:c>
    </x:row>
    <x:row r="5">
      <x:c r="A5" s="78" t="str">
        <x:v>Funding</x:v>
      </x:c>
      <x:c r="B5" s="78" t="str">
        <x:v>allocation_usd</x:v>
      </x:c>
      <x:c r="C5" s="78" t="str">
        <x:v>Official FTA allocation in nominal U.S. dollars</x:v>
      </x:c>
      <x:c r="D5" s="78" t="str">
        <x:v>number</x:v>
      </x:c>
      <x:c r="E5" s="78" t="str">
        <x:v>official_allocation</x:v>
      </x:c>
      <x:c r="F5" s="78" t="str">
        <x:v>Never add pass-through suballocations twice</x:v>
      </x:c>
    </x:row>
    <x:row r="6">
      <x:c r="A6" s="78" t="str">
        <x:v>NJ Match Data</x:v>
      </x:c>
      <x:c r="B6" s="78" t="str">
        <x:v>ticket_holders</x:v>
      </x:c>
      <x:c r="C6" s="78" t="str">
        <x:v>FIFA ticket holders reported for the match</x:v>
      </x:c>
      <x:c r="D6" s="78" t="str">
        <x:v>count</x:v>
      </x:c>
      <x:c r="E6" s="78" t="str">
        <x:v>observed_final</x:v>
      </x:c>
      <x:c r="F6" s="78" t="str">
        <x:v>Not necessarily every person physically present</x:v>
      </x:c>
    </x:row>
    <x:row r="7">
      <x:c r="A7" s="78" t="str">
        <x:v>NJ Match Data</x:v>
      </x:c>
      <x:c r="B7" s="78" t="str">
        <x:v>uber_count</x:v>
      </x:c>
      <x:c r="C7" s="78" t="str">
        <x:v>Uber mode count in NJ Transit AAR table</x:v>
      </x:c>
      <x:c r="D7" s="78" t="str">
        <x:v>count</x:v>
      </x:c>
      <x:c r="E7" s="78" t="str">
        <x:v>observed_final</x:v>
      </x:c>
      <x:c r="F7" s="78" t="str">
        <x:v>Preserve publisher definition</x:v>
      </x:c>
    </x:row>
    <x:row r="8">
      <x:c r="A8" s="78" t="str">
        <x:v>NJ Match Data</x:v>
      </x:c>
      <x:c r="B8" s="78" t="str">
        <x:v>pedestrian_count</x:v>
      </x:c>
      <x:c r="C8" s="78" t="str">
        <x:v>American Dream pedestrian count</x:v>
      </x:c>
      <x:c r="D8" s="78" t="str">
        <x:v>count</x:v>
      </x:c>
      <x:c r="E8" s="78" t="str">
        <x:v>observed_final</x:v>
      </x:c>
      <x:c r="F8" s="78" t="str">
        <x:v>Includes pedestrian equivalents described by publisher</x:v>
      </x:c>
    </x:row>
    <x:row r="9">
      <x:c r="A9" s="78" t="str">
        <x:v>NJ Match Data</x:v>
      </x:c>
      <x:c r="B9" s="78" t="str">
        <x:v>rail_egress_pph</x:v>
      </x:c>
      <x:c r="C9" s="78" t="str">
        <x:v>NJT egress divided by egress hours</x:v>
      </x:c>
      <x:c r="D9" s="78" t="str">
        <x:v>people/hour</x:v>
      </x:c>
      <x:c r="E9" s="78" t="str">
        <x:v>derived</x:v>
      </x:c>
      <x:c r="F9" s="78" t="str">
        <x:v>Workbook formula</x:v>
      </x:c>
    </x:row>
    <x:row r="10">
      <x:c r="A10" s="78" t="str">
        <x:v>Observed Summary</x:v>
      </x:c>
      <x:c r="B10" s="78" t="str">
        <x:v>observed_final</x:v>
      </x:c>
      <x:c r="C10" s="78" t="str">
        <x:v>Directly reported final result</x:v>
      </x:c>
      <x:c r="D10" s="78" t="str">
        <x:v>classification</x:v>
      </x:c>
      <x:c r="E10" s="78"/>
      <x:c r="F10" s="78" t="str">
        <x:v>Highest evidence tier in this workbook</x:v>
      </x:c>
    </x:row>
    <x:row r="11">
      <x:c r="A11" s="78" t="str">
        <x:v>Observed Summary</x:v>
      </x:c>
      <x:c r="B11" s="78" t="str">
        <x:v>observed_preliminary</x:v>
      </x:c>
      <x:c r="C11" s="78" t="str">
        <x:v>Reported outcome subject to later validation</x:v>
      </x:c>
      <x:c r="D11" s="78" t="str">
        <x:v>classification</x:v>
      </x:c>
      <x:c r="E11" s="78"/>
      <x:c r="F11" s="78" t="str">
        <x:v>Used for Sound Transit APC estimates</x:v>
      </x:c>
    </x:row>
    <x:row r="12">
      <x:c r="A12" s="78" t="str">
        <x:v>Observed Summary</x:v>
      </x:c>
      <x:c r="B12" s="78" t="str">
        <x:v>official_plan</x:v>
      </x:c>
      <x:c r="C12" s="78" t="str">
        <x:v>Planned capacity, service or forecast</x:v>
      </x:c>
      <x:c r="D12" s="78" t="str">
        <x:v>classification</x:v>
      </x:c>
      <x:c r="E12" s="78"/>
      <x:c r="F12" s="78" t="str">
        <x:v>Never display as actual performance</x:v>
      </x:c>
    </x:row>
    <x:row r="13">
      <x:c r="A13" s="78" t="str">
        <x:v>City Profiles</x:v>
      </x:c>
      <x:c r="B13" s="78" t="str">
        <x:v>capacity_proxy</x:v>
      </x:c>
      <x:c r="C13" s="78" t="str">
        <x:v>Demand inferred from capacity and match count</x:v>
      </x:c>
      <x:c r="D13" s="78" t="str">
        <x:v>classification</x:v>
      </x:c>
      <x:c r="E13" s="78"/>
      <x:c r="F13" s="78" t="str">
        <x:v>Replace with turnstile data when available</x:v>
      </x:c>
    </x:row>
    <x:row r="14">
      <x:c r="A14" s="78" t="str">
        <x:v>Interventions</x:v>
      </x:c>
      <x:c r="B14" s="78" t="str">
        <x:v>engineering_assumption</x:v>
      </x:c>
      <x:c r="C14" s="78" t="str">
        <x:v>Editable planning input, not an observed bid or outcome</x:v>
      </x:c>
      <x:c r="D14" s="78" t="str">
        <x:v>classification</x:v>
      </x:c>
      <x:c r="E14" s="78"/>
      <x:c r="F14" s="78" t="str">
        <x:v>Always include sensitivity analysis</x:v>
      </x:c>
    </x:row>
    <x:row r="15">
      <x:c r="A15" s="78" t="str">
        <x:v>Model Outputs</x:v>
      </x:c>
      <x:c r="B15" s="78" t="str">
        <x:v>model_output</x:v>
      </x:c>
      <x:c r="C15" s="78" t="str">
        <x:v>Value produced by the current demonstration optimizer</x:v>
      </x:c>
      <x:c r="D15" s="78" t="str">
        <x:v>classification</x:v>
      </x:c>
      <x:c r="E15" s="78"/>
      <x:c r="F15" s="78" t="str">
        <x:v>Depends on assumptions and normalization</x:v>
      </x:c>
    </x:row>
    <x:row r="16">
      <x:c r="A16" s="78" t="str">
        <x:v>Legacy Projects</x:v>
      </x:c>
      <x:c r="B16" s="78" t="str">
        <x:v>conceptual_anchor</x:v>
      </x:c>
      <x:c r="C16" s="78" t="str">
        <x:v>Approximate map placement for showcase rendering</x:v>
      </x:c>
      <x:c r="D16" s="78" t="str">
        <x:v>latitude/longitude</x:v>
      </x:c>
      <x:c r="E16" s="78" t="str">
        <x:v>engineering_assumption</x:v>
      </x:c>
      <x:c r="F16" s="78" t="str">
        <x:v>Not surveyed or engineering-approved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0328aacee7aa49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8" hidden="0" customWidth="1"/>
    <x:col min="3" max="3" width="20" hidden="0" customWidth="1"/>
    <x:col min="4" max="4" width="20" hidden="0" customWidth="1"/>
    <x:col min="5" max="5" width="16" hidden="0" customWidth="1"/>
    <x:col min="6" max="6" width="16" hidden="0" customWidth="1"/>
  </x:cols>
  <x:sheetData>
    <x:row r="1">
      <x:c r="A1" s="130" t="str">
        <x:v>Workbook Quality and Reconciliation Checks</x:v>
      </x:c>
      <x:c r="B1" s="69"/>
      <x:c r="C1" s="69"/>
      <x:c r="D1" s="69"/>
      <x:c r="E1" s="69"/>
      <x:c r="F1" s="69"/>
    </x:row>
    <x:row r="2">
      <x:c r="A2" s="6" t="str">
        <x:v>PASS is required for every critical check. These formulas help prevent double-counting, missing identifiers and silent budget violations.</x:v>
      </x:c>
      <x:c r="B2" s="6"/>
      <x:c r="C2" s="6"/>
      <x:c r="D2" s="6"/>
      <x:c r="E2" s="6"/>
      <x:c r="F2" s="6"/>
    </x:row>
    <x:row r="4">
      <x:c r="A4" s="100" t="str">
        <x:v>check_id</x:v>
      </x:c>
      <x:c r="B4" s="100" t="str">
        <x:v>description</x:v>
      </x:c>
      <x:c r="C4" s="100" t="str">
        <x:v>actual</x:v>
      </x:c>
      <x:c r="D4" s="100" t="str">
        <x:v>expected</x:v>
      </x:c>
      <x:c r="E4" s="100" t="str">
        <x:v>status</x:v>
      </x:c>
      <x:c r="F4" s="100" t="str">
        <x:v>severity</x:v>
      </x:c>
    </x:row>
    <x:row r="5">
      <x:c r="A5" s="61" t="str">
        <x:v>funding-total</x:v>
      </x:c>
      <x:c r="B5" s="61" t="str">
        <x:v>FTA allocations total</x:v>
      </x:c>
      <x:c r="C5" s="62" t="n">
        <x:f>'Funding'!C16</x:f>
        <x:v>100250212</x:v>
      </x:c>
      <x:c r="D5" s="62" t="n">
        <x:v>100250212</x:v>
      </x:c>
      <x:c r="E5" s="61" t="str">
        <x:f>IF(C5=D5,"PASS","FAIL")</x:f>
        <x:v>PASS</x:v>
      </x:c>
      <x:c r="F5" s="61" t="str">
        <x:v>critical</x:v>
      </x:c>
    </x:row>
    <x:row r="6">
      <x:c r="A6" s="61" t="str">
        <x:v>host-count</x:v>
      </x:c>
      <x:c r="B6" s="61" t="str">
        <x:v>Host-region count</x:v>
      </x:c>
      <x:c r="C6" s="62" t="n">
        <x:f>COUNTA('Funding'!B5:B15)</x:f>
        <x:v>11</x:v>
      </x:c>
      <x:c r="D6" s="62" t="n">
        <x:v>11</x:v>
      </x:c>
      <x:c r="E6" s="61" t="str">
        <x:f>IF(C6=D6,"PASS","FAIL")</x:f>
        <x:v>PASS</x:v>
      </x:c>
      <x:c r="F6" s="61" t="str">
        <x:v>critical</x:v>
      </x:c>
    </x:row>
    <x:row r="7">
      <x:c r="A7" s="61" t="str">
        <x:v>nj-match-count</x:v>
      </x:c>
      <x:c r="B7" s="61" t="str">
        <x:v>NJ observed match rows</x:v>
      </x:c>
      <x:c r="C7" s="62" t="n">
        <x:f>COUNT('NJ Match Data'!B6:B13)</x:f>
        <x:v>8</x:v>
      </x:c>
      <x:c r="D7" s="62" t="n">
        <x:v>8</x:v>
      </x:c>
      <x:c r="E7" s="61" t="str">
        <x:f>IF(C7=D7,"PASS","FAIL")</x:f>
        <x:v>PASS</x:v>
      </x:c>
      <x:c r="F7" s="61" t="str">
        <x:v>critical</x:v>
      </x:c>
    </x:row>
    <x:row r="8">
      <x:c r="A8" s="61" t="str">
        <x:v>nj-final-ped</x:v>
      </x:c>
      <x:c r="B8" s="61" t="str">
        <x:v>NJ final pedestrian count</x:v>
      </x:c>
      <x:c r="C8" s="62" t="n">
        <x:f>'NJ Match Data'!N13</x:f>
        <x:v>65000</x:v>
      </x:c>
      <x:c r="D8" s="62" t="n">
        <x:v>65000</x:v>
      </x:c>
      <x:c r="E8" s="61" t="str">
        <x:f>IF(C8=D8,"PASS","FAIL")</x:f>
        <x:v>PASS</x:v>
      </x:c>
      <x:c r="F8" s="61" t="str">
        <x:v>critical</x:v>
      </x:c>
    </x:row>
    <x:row r="9">
      <x:c r="A9" s="61" t="str">
        <x:v>nj-final-egress</x:v>
      </x:c>
      <x:c r="B9" s="61" t="str">
        <x:v>NJ final rail egress</x:v>
      </x:c>
      <x:c r="C9" s="62" t="n">
        <x:f>'NJ Match Data'!J13</x:f>
        <x:v>21024</x:v>
      </x:c>
      <x:c r="D9" s="62" t="n">
        <x:v>21024</x:v>
      </x:c>
      <x:c r="E9" s="61" t="str">
        <x:f>IF(C9=D9,"PASS","FAIL")</x:f>
        <x:v>PASS</x:v>
      </x:c>
      <x:c r="F9" s="61" t="str">
        <x:v>critical</x:v>
      </x:c>
    </x:row>
    <x:row r="10">
      <x:c r="A10" s="61" t="str">
        <x:v>model-budget-nynj</x:v>
      </x:c>
      <x:c r="B10" s="61" t="str">
        <x:v>NY/NJ modeled spend within budget</x:v>
      </x:c>
      <x:c r="C10" s="62" t="n">
        <x:f>'Model Outputs'!D12</x:f>
        <x:v>108681</x:v>
      </x:c>
      <x:c r="D10" s="62" t="n">
        <x:v>0</x:v>
      </x:c>
      <x:c r="E10" s="61" t="str">
        <x:f>IF(C10&gt;=D10,"PASS","FAIL")</x:f>
        <x:v>PASS</x:v>
      </x:c>
      <x:c r="F10" s="61" t="str">
        <x:v>critical</x:v>
      </x:c>
    </x:row>
    <x:row r="11">
      <x:c r="A11" s="61" t="str">
        <x:v>project-source</x:v>
      </x:c>
      <x:c r="B11" s="61" t="str">
        <x:v>Legacy projects have evidence source IDs</x:v>
      </x:c>
      <x:c r="C11" s="62" t="n">
        <x:f>COUNTBLANK('Legacy Projects'!O5:O12)</x:f>
        <x:v>0</x:v>
      </x:c>
      <x:c r="D11" s="62" t="n">
        <x:v>0</x:v>
      </x:c>
      <x:c r="E11" s="61" t="str">
        <x:f>IF(C11=D11,"PASS","FAIL")</x:f>
        <x:v>PASS</x:v>
      </x:c>
      <x:c r="F11" s="61" t="str">
        <x:v>critical</x:v>
      </x:c>
    </x:row>
    <x:row r="12">
      <x:c r="A12" s="61" t="str">
        <x:v>funding-source</x:v>
      </x:c>
      <x:c r="B12" s="61" t="str">
        <x:v>Funding rows have source IDs</x:v>
      </x:c>
      <x:c r="C12" s="62" t="n">
        <x:f>COUNTBLANK('Funding'!E5:E15)</x:f>
        <x:v>0</x:v>
      </x:c>
      <x:c r="D12" s="62" t="n">
        <x:v>0</x:v>
      </x:c>
      <x:c r="E12" s="61" t="str">
        <x:f>IF(C12=D12,"PASS","FAIL")</x:f>
        <x:v>PASS</x:v>
      </x:c>
      <x:c r="F12" s="61" t="str">
        <x:v>critical</x:v>
      </x:c>
    </x:row>
  </x:sheetData>
  <x:mergeCells>
    <x:mergeCell ref="A1:F1"/>
    <x:mergeCell ref="A2:F2"/>
  </x:mergeCells>
  <x:conditionalFormatting sqref="E5:E12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