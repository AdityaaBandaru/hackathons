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7ff31ec54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63bdcbf1ba4a4d"/>
    <x:sheet xmlns:r="http://schemas.openxmlformats.org/officeDocument/2006/relationships" name="Pedestrian Areas" sheetId="2" r:id="R9d67ddd39de4479f"/>
    <x:sheet xmlns:r="http://schemas.openxmlformats.org/officeDocument/2006/relationships" name="2026 Evidence" sheetId="3" r:id="R6339412d5a4e4f63"/>
    <x:sheet xmlns:r="http://schemas.openxmlformats.org/officeDocument/2006/relationships" name="Funding Categories" sheetId="4" r:id="R1789a332526d4ac7"/>
    <x:sheet xmlns:r="http://schemas.openxmlformats.org/officeDocument/2006/relationships" name="3D Projects" sheetId="5" r:id="R1e1889e1e411443b"/>
    <x:sheet xmlns:r="http://schemas.openxmlformats.org/officeDocument/2006/relationships" name="Analog Events" sheetId="6" r:id="R5e53a5127e494d43"/>
    <x:sheet xmlns:r="http://schemas.openxmlformats.org/officeDocument/2006/relationships" name="ML Dataset" sheetId="7" r:id="Rfa8c3d261ad6477d"/>
    <x:sheet xmlns:r="http://schemas.openxmlformats.org/officeDocument/2006/relationships" name="Intervention Dictionary" sheetId="8" r:id="R86e560bea406404e"/>
    <x:sheet xmlns:r="http://schemas.openxmlformats.org/officeDocument/2006/relationships" name="Codebook" sheetId="9" r:id="R315d1ef6a60745fd"/>
    <x:sheet xmlns:r="http://schemas.openxmlformats.org/officeDocument/2006/relationships" name="Data Dictionary" sheetId="10" r:id="Rf84b09ca17744c84"/>
    <x:sheet xmlns:r="http://schemas.openxmlformats.org/officeDocument/2006/relationships" name="Sources" sheetId="11" r:id="R3ada2206c6e642f6"/>
    <x:sheet xmlns:r="http://schemas.openxmlformats.org/officeDocument/2006/relationships" name="QA Checks" sheetId="12" r:id="Rbbb6a7dfabea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00000"/>
    <x:numFmt numFmtId="202" formatCode="#,##0"/>
    <x:numFmt numFmtId="203" formatCode="0%"/>
    <x:numFmt numFmtId="204" formatCode="#,##0.00"/>
    <x:numFmt numFmtId="205" formatCode="0.0%"/>
  </x:numFmts>
  <x:fonts count="9">
    <x:font>
      <x:sz val="11"/>
      <x:name val="Carlito"/>
    </x:font>
    <x:font>
      <x:b/>
      <x:sz val="22"/>
      <x:color rgb="FFFFFFFF"/>
      <x:name val="Aptos Display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2033"/>
      <x:name val="Carlito"/>
    </x:font>
    <x:font>
      <x:b/>
      <x:sz val="18"/>
      <x:color rgb="FFFFFFFF"/>
      <x:name val="Aptos Display"/>
    </x:font>
    <x:font>
      <x:i/>
      <x:sz val="10"/>
      <x:color rgb="FF172033"/>
      <x:name val="Carlito"/>
    </x:font>
    <x:font>
      <x:sz val="10"/>
      <x:color rgb="FF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16324F"/>
      </x:patternFill>
    </x:fill>
    <x:fill>
      <x:patternFill patternType="solid">
        <x:fgColor rgb="FFFFF4DF"/>
      </x:patternFill>
    </x:fill>
  </x:fills>
  <x:borders count="11">
    <x:border/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8" fillId="0" borderId="10" xfId="0" applyNumberFormat="1" applyFont="1" applyFill="1" applyBorder="1"/>
    <x:xf numFmtId="0" fontId="8" fillId="0" borderId="10" xfId="0" applyNumberFormat="1" applyFont="1" applyFill="1" applyBorder="1" applyAlignment="1">
      <x:alignment vertical="top"/>
    </x:xf>
    <x:xf numFmtId="201" fontId="8" fillId="0" borderId="10" xfId="0" applyNumberFormat="1" applyFont="1" applyFill="1" applyBorder="1" applyAlignment="1">
      <x:alignment vertical="top"/>
    </x:xf>
    <x:xf numFmtId="202" fontId="8" fillId="0" borderId="10" xfId="0" applyNumberFormat="1" applyFont="1" applyFill="1" applyBorder="1" applyAlignment="1">
      <x:alignment vertical="top"/>
    </x:xf>
    <x:xf numFmtId="203" fontId="8" fillId="0" borderId="10" xfId="0" applyNumberFormat="1" applyFont="1" applyFill="1" applyBorder="1" applyAlignment="1">
      <x:alignment vertical="top"/>
    </x:xf>
    <x:xf numFmtId="204" fontId="8" fillId="0" borderId="10" xfId="0" applyNumberFormat="1" applyFont="1" applyFill="1" applyBorder="1" applyAlignment="1">
      <x:alignment vertical="top"/>
    </x:xf>
    <x:xf numFmtId="0" fontId="8" fillId="6" borderId="10" xfId="0" applyNumberFormat="1" applyFont="1" applyFill="1" applyBorder="1" applyAlignment="1">
      <x:alignment vertical="top"/>
    </x:xf>
    <x:xf numFmtId="200" fontId="8" fillId="0" borderId="10" xfId="0" applyNumberFormat="1" applyFont="1" applyFill="1" applyBorder="1" applyAlignment="1">
      <x:alignment vertical="top"/>
    </x:xf>
    <x:xf numFmtId="200" fontId="8" fillId="6" borderId="10" xfId="0" applyNumberFormat="1" applyFont="1" applyFill="1" applyBorder="1" applyAlignment="1">
      <x:alignment vertical="top"/>
    </x:xf>
    <x:xf numFmtId="203" fontId="8" fillId="6" borderId="10" xfId="0" applyNumberFormat="1" applyFont="1" applyFill="1" applyBorder="1" applyAlignment="1">
      <x:alignment vertical="top"/>
    </x:xf>
    <x:xf numFmtId="205" fontId="8" fillId="0" borderId="10" xfId="0" applyNumberFormat="1" applyFont="1" applyFill="1" applyBorder="1" applyAlignment="1">
      <x:alignment vertical="top"/>
    </x:xf>
    <x:xf numFmtId="205" fontId="8" fillId="6" borderId="10" xfId="0" applyNumberFormat="1" applyFont="1" applyFill="1" applyBorder="1" applyAlignment="1">
      <x:alignment vertical="top"/>
    </x:xf>
    <x:xf numFmtId="0" fontId="3" fillId="4" borderId="9" xfId="0" applyNumberFormat="1" applyFont="1" applyFill="1" applyBorder="1"/>
    <x:xf numFmtId="204" fontId="0" fillId="0" borderId="10" xfId="0" applyNumberFormat="1" applyFont="1" applyFill="1" applyBorder="1"/>
  </x:cellXfs>
  <x:cellStyles count="1">
    <x:cellStyle name="Normal" xfId="0"/>
  </x:cellStyles>
  <x:dxfs count="3">
    <x:dxf>
      <x:font>
        <x:b/>
        <x:color rgb="FF15803D"/>
      </x:font>
      <x:fill>
        <x:patternFill patternType="solid">
          <x:bgColor rgb="FFE8F5F2"/>
        </x:patternFill>
      </x:fill>
    </x:dxf>
    <x:dxf>
      <x:font>
        <x:b/>
        <x:color rgb="FF15803D"/>
      </x:font>
      <x:fill>
        <x:patternFill patternType="solid">
          <x:bgColor rgb="FFE8F5F2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7e82ae09d4144" /><Relationship Type="http://schemas.openxmlformats.org/officeDocument/2006/relationships/theme" Target="/xl/theme/theme1.xml" Id="R7f42804b162d49fe" /><Relationship Type="http://schemas.openxmlformats.org/officeDocument/2006/relationships/sharedStrings" Target="/xl/sharedStrings.xml" Id="R1548f597452d48d8" /><Relationship Type="http://schemas.openxmlformats.org/officeDocument/2006/relationships/worksheet" Target="/xl/worksheets/sheet1.xml" Id="R1363bdcbf1ba4a4d" /><Relationship Type="http://schemas.openxmlformats.org/officeDocument/2006/relationships/worksheet" Target="/xl/worksheets/sheet2.xml" Id="R9d67ddd39de4479f" /><Relationship Type="http://schemas.openxmlformats.org/officeDocument/2006/relationships/worksheet" Target="/xl/worksheets/sheet3.xml" Id="R6339412d5a4e4f63" /><Relationship Type="http://schemas.openxmlformats.org/officeDocument/2006/relationships/worksheet" Target="/xl/worksheets/sheet4.xml" Id="R1789a332526d4ac7" /><Relationship Type="http://schemas.openxmlformats.org/officeDocument/2006/relationships/worksheet" Target="/xl/worksheets/sheet5.xml" Id="R1e1889e1e411443b" /><Relationship Type="http://schemas.openxmlformats.org/officeDocument/2006/relationships/worksheet" Target="/xl/worksheets/sheet6.xml" Id="R5e53a5127e494d43" /><Relationship Type="http://schemas.openxmlformats.org/officeDocument/2006/relationships/worksheet" Target="/xl/worksheets/sheet7.xml" Id="Rfa8c3d261ad6477d" /><Relationship Type="http://schemas.openxmlformats.org/officeDocument/2006/relationships/worksheet" Target="/xl/worksheets/sheet8.xml" Id="R86e560bea406404e" /><Relationship Type="http://schemas.openxmlformats.org/officeDocument/2006/relationships/worksheet" Target="/xl/worksheets/sheet9.xml" Id="R315d1ef6a60745fd" /><Relationship Type="http://schemas.openxmlformats.org/officeDocument/2006/relationships/worksheet" Target="/xl/worksheets/sheet10.xml" Id="Rf84b09ca17744c84" /><Relationship Type="http://schemas.openxmlformats.org/officeDocument/2006/relationships/worksheet" Target="/xl/worksheets/sheet11.xml" Id="R3ada2206c6e642f6" /><Relationship Type="http://schemas.openxmlformats.org/officeDocument/2006/relationships/worksheet" Target="/xl/worksheets/sheet12.xml" Id="Rbbb6a7dfabea4fe4" /></Relationships>
</file>

<file path=xl/tables/table1.xml><?xml version="1.0" encoding="utf-8"?>
<x:table xmlns:x="http://schemas.openxmlformats.org/spreadsheetml/2006/main" id="1" name="PedestrianAreasTable" displayName="PedestrianAreasTable" ref="A4:X26" headerRowCount="1" totalsRowCount="0" totalsRowShown="0">
  <x:autoFilter ref="A4:X26"/>
  <x:tableColumns count="24">
    <x:tableColumn id="1" name="area_code"/>
    <x:tableColumn id="2" name="area_short_code"/>
    <x:tableColumn id="3" name="area_id"/>
    <x:tableColumn id="4" name="city_id"/>
    <x:tableColumn id="5" name="host_region"/>
    <x:tableColumn id="6" name="exact_area_name"/>
    <x:tableColumn id="7" name="area_type"/>
    <x:tableColumn id="8" name="latitude"/>
    <x:tableColumn id="9" name="longitude"/>
    <x:tableColumn id="10" name="analysis_radius_m"/>
    <x:tableColumn id="11" name="city_event_ped_design_total"/>
    <x:tableColumn id="12" name="area_share"/>
    <x:tableColumn id="13" name="area_design_pedestrians"/>
    <x:tableColumn id="14" name="volume_unit"/>
    <x:tableColumn id="15" name="volume_basis"/>
    <x:tableColumn id="16" name="comparator_metric"/>
    <x:tableColumn id="17" name="comparator_value"/>
    <x:tableColumn id="18" name="comparator_qualifier"/>
    <x:tableColumn id="19" name="comparator_scope_note"/>
    <x:tableColumn id="20" name="temporary_area_fix"/>
    <x:tableColumn id="21" name="permanent_area_fix"/>
    <x:tableColumn id="22" name="spatial_precision"/>
    <x:tableColumn id="23" name="evidence_class"/>
    <x:tableColumn id="24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2026Table" displayName="Evidence2026Table" ref="A4:I25" headerRowCount="1" totalsRowCount="0" totalsRowShown="0">
  <x:autoFilter ref="A4:I25"/>
  <x:tableColumns count="9">
    <x:tableColumn id="1" name="evidence_id"/>
    <x:tableColumn id="2" name="host_region"/>
    <x:tableColumn id="3" name="date_or_scope"/>
    <x:tableColumn id="4" name="metric"/>
    <x:tableColumn id="5" name="value"/>
    <x:tableColumn id="6" name="unit"/>
    <x:tableColumn id="7" name="qualifier"/>
    <x:tableColumn id="8" name="evidence_class"/>
    <x:tableColumn id="9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ndingCategoriesTable" displayName="FundingCategoriesTable" ref="A4:T147" headerRowCount="1" totalsRowCount="0" totalsRowShown="0">
  <x:autoFilter ref="A4:T147"/>
  <x:tableColumns count="20">
    <x:tableColumn id="1" name="host_region_code"/>
    <x:tableColumn id="2" name="city_id"/>
    <x:tableColumn id="3" name="host_region"/>
    <x:tableColumn id="4" name="category"/>
    <x:tableColumn id="5" name="category_name"/>
    <x:tableColumn id="6" name="official_host_budget_usd"/>
    <x:tableColumn id="7" name="selected_units"/>
    <x:tableColumn id="8" name="decision_unit"/>
    <x:tableColumn id="9" name="typical_unit_cost_usd"/>
    <x:tableColumn id="10" name="temporary_share"/>
    <x:tableColumn id="11" name="modeled_category_allocation_usd"/>
    <x:tableColumn id="12" name="temporary_allocation_usd"/>
    <x:tableColumn id="13" name="permanent_allocation_usd"/>
    <x:tableColumn id="14" name="share_of_host_budget"/>
    <x:tableColumn id="15" name="temporary_fix"/>
    <x:tableColumn id="16" name="permanent_fix"/>
    <x:tableColumn id="17" name="useful_life_years"/>
    <x:tableColumn id="18" name="evidence_class"/>
    <x:tableColumn id="19" name="funding_source_id"/>
    <x:tableColumn id="2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s3DTable" displayName="Projects3DTable" ref="A4:AB268" headerRowCount="1" totalsRowCount="0" totalsRowShown="0">
  <x:autoFilter ref="A4:AB268"/>
  <x:tableColumns count="28">
    <x:tableColumn id="1" name="project_id"/>
    <x:tableColumn id="2" name="host_region_code"/>
    <x:tableColumn id="3" name="city_id"/>
    <x:tableColumn id="4" name="host_region"/>
    <x:tableColumn id="5" name="category"/>
    <x:tableColumn id="6" name="category_name"/>
    <x:tableColumn id="7" name="phase"/>
    <x:tableColumn id="8" name="area_id"/>
    <x:tableColumn id="9" name="area_short_code"/>
    <x:tableColumn id="10" name="exact_area_name"/>
    <x:tableColumn id="11" name="latitude"/>
    <x:tableColumn id="12" name="longitude"/>
    <x:tableColumn id="13" name="analysis_radius_m"/>
    <x:tableColumn id="14" name="geometry_type"/>
    <x:tableColumn id="15" name="length_m"/>
    <x:tableColumn id="16" name="width_m"/>
    <x:tableColumn id="17" name="height_m"/>
    <x:tableColumn id="18" name="bearing_deg"/>
    <x:tableColumn id="19" name="z_offset_m"/>
    <x:tableColumn id="20" name="color_hex"/>
    <x:tableColumn id="21" name="opacity"/>
    <x:tableColumn id="22" name="allocation_usd"/>
    <x:tableColumn id="23" name="render_enabled"/>
    <x:tableColumn id="24" name="design_description"/>
    <x:tableColumn id="25" name="implementation_status"/>
    <x:tableColumn id="26" name="spatial_precision"/>
    <x:tableColumn id="27" name="evidence_class"/>
    <x:tableColumn id="28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alogEventsTable" displayName="AnalogEventsTable" ref="A4:P18" headerRowCount="1" totalsRowCount="0" totalsRowShown="0">
  <x:autoFilter ref="A4:P18"/>
  <x:tableColumns count="16">
    <x:tableColumn id="1" name="analog_event_id"/>
    <x:tableColumn id="2" name="host_region"/>
    <x:tableColumn id="3" name="venue"/>
    <x:tableColumn id="4" name="event"/>
    <x:tableColumn id="5" name="event_type"/>
    <x:tableColumn id="6" name="date_or_period"/>
    <x:tableColumn id="7" name="event_days"/>
    <x:tableColumn id="8" name="total_attendance"/>
    <x:tableColumn id="9" name="per_event_attendance"/>
    <x:tableColumn id="10" name="transit_boardings"/>
    <x:tableColumn id="11" name="pedestrian_proxy"/>
    <x:tableColumn id="12" name="qualifier"/>
    <x:tableColumn id="13" name="recommended_model_use"/>
    <x:tableColumn id="14" name="evidence_class"/>
    <x:tableColumn id="15" name="attendance_source_url"/>
    <x:tableColumn id="16" name="transit_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LDatasetTable" displayName="MLDatasetTable" ref="A4:O772" headerRowCount="1" totalsRowCount="0" totalsRowShown="0">
  <x:autoFilter ref="A4:O772"/>
  <x:tableColumns count="15">
    <x:tableColumn id="1" name="ScenarioID"/>
    <x:tableColumn id="2" name="HostRegionCode"/>
    <x:tableColumn id="3" name="PrimaryAreaCode"/>
    <x:tableColumn id="4" name="MatchStageCode"/>
    <x:tableColumn id="5" name="StadiumCapacity"/>
    <x:tableColumn id="6" name="TicketHolders"/>
    <x:tableColumn id="7" name="TransitPassengers"/>
    <x:tableColumn id="8" name="PedestrianVolume"/>
    <x:tableColumn id="9" name="AreaPedestrianVolume"/>
    <x:tableColumn id="10" name="EgressMinutes"/>
    <x:tableColumn id="11" name="FTAFundingMillions"/>
    <x:tableColumn id="12" name="Latitude"/>
    <x:tableColumn id="13" name="Longitude"/>
    <x:tableColumn id="14" name="AnalysisRadiusM"/>
    <x:tableColumn id="15" name="Outco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terventionDictionaryTable" displayName="InterventionDictionaryTable" ref="A4:M16" headerRowCount="1" totalsRowCount="0" totalsRowShown="0">
  <x:autoFilter ref="A4:M16"/>
  <x:tableColumns count="13">
    <x:tableColumn id="1" name="category_code"/>
    <x:tableColumn id="2" name="category"/>
    <x:tableColumn id="3" name="category_name"/>
    <x:tableColumn id="4" name="decision_unit"/>
    <x:tableColumn id="5" name="typical_unit_cost_usd"/>
    <x:tableColumn id="6" name="temporary_share"/>
    <x:tableColumn id="7" name="permanent_share"/>
    <x:tableColumn id="8" name="useful_life_years"/>
    <x:tableColumn id="9" name="default_area_target"/>
    <x:tableColumn id="10" name="default_geometry_type"/>
    <x:tableColumn id="11" name="temporary_fix"/>
    <x:tableColumn id="12" name="permanent_fix"/>
    <x:tableColumn id="13" name="evidence_clas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debookTable" displayName="CodebookTable" ref="A4:D45" headerRowCount="1" totalsRowCount="0" totalsRowShown="0">
  <x:autoFilter ref="A4:D45"/>
  <x:tableColumns count="4">
    <x:tableColumn id="1" name="field"/>
    <x:tableColumn id="2" name="code"/>
    <x:tableColumn id="3" name="meaning"/>
    <x:tableColumn id="4" name="usage_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DictionaryTable" displayName="DataDictionaryTable" ref="A4:D20" headerRowCount="1" totalsRowCount="0" totalsRowShown="0">
  <x:autoFilter ref="A4:D20"/>
  <x:tableColumns count="4">
    <x:tableColumn id="1" name="domain_or_sheet"/>
    <x:tableColumn id="2" name="field_or_class"/>
    <x:tableColumn id="3" name="definition"/>
    <x:tableColumn id="4" name="implementation_rul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Table" displayName="SourcesTable" ref="A4:F19" headerRowCount="1" totalsRowCount="0" totalsRowShown="0">
  <x:autoFilter ref="A4:F19"/>
  <x:tableColumns count="6">
    <x:tableColumn id="1" name="source_id"/>
    <x:tableColumn id="2" name="title"/>
    <x:tableColumn id="3" name="publisher"/>
    <x:tableColumn id="4" name="publication_date"/>
    <x:tableColumn id="5" name="used_for"/>
    <x:tableColumn id="6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c63c1cbfc648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1a06c9bbd746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329e52b5334f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a28a16ff854a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50a12dc0f449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f78898575241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057ec404ea48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d976c3c1a247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f11fb713d9544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14a74621d934d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52" hidden="0" customWidth="1"/>
    <x:col min="4" max="4" width="26" hidden="0" customWidth="1"/>
    <x:col min="5" max="5" width="20" hidden="0" customWidth="1"/>
    <x:col min="6" max="6" width="4" hidden="0" customWidth="1"/>
    <x:col min="7" max="7" width="24" hidden="0" customWidth="1"/>
    <x:col min="8" max="8" width="18" hidden="0" customWidth="1"/>
  </x:cols>
  <x:sheetData>
    <x:row r="1" ht="36" customHeight="1">
      <x:c r="A1" s="3" t="str">
        <x:v>World Cup 2026 Spatial Mobility + 3D Intervention Dataset</x:v>
      </x:c>
      <x:c r="B1" s="3"/>
      <x:c r="C1" s="3"/>
      <x:c r="D1" s="3"/>
      <x:c r="E1" s="3"/>
      <x:c r="F1" s="3"/>
      <x:c r="G1" s="3"/>
      <x:c r="H1" s="3"/>
    </x:row>
    <x:row r="2">
      <x:c r="A2" s="7" t="str">
        <x:v>Purpose: give an AI developer a single, auditable data contract for exact planning areas, pedestrian design volumes, official host funding, category allocations, comparable stadium events, and temporary/permanent 3D layers. Planning anchors are not survey-grade coordinates.</x:v>
      </x:c>
      <x:c r="B2" s="7"/>
      <x:c r="C2" s="7"/>
      <x:c r="D2" s="7"/>
      <x:c r="E2" s="7"/>
      <x:c r="F2" s="7"/>
      <x:c r="G2" s="7"/>
      <x:c r="H2" s="7"/>
    </x:row>
    <x:row r="3">
      <x:c r="A3" s="7"/>
      <x:c r="B3" s="7"/>
      <x:c r="C3" s="7"/>
      <x:c r="D3" s="7"/>
      <x:c r="E3" s="7"/>
      <x:c r="F3" s="7"/>
      <x:c r="G3" s="7"/>
      <x:c r="H3" s="7"/>
    </x:row>
    <x:row r="5">
      <x:c r="A5" s="9" t="str">
        <x:v>CONTROL TOTAL</x:v>
      </x:c>
      <x:c r="B5" s="9" t="str">
        <x:v>VALUE</x:v>
      </x:c>
      <x:c r="D5" s="9" t="str">
        <x:v>SPATIAL / MODEL COUNT</x:v>
      </x:c>
      <x:c r="E5" s="9" t="str">
        <x:v>VALUE</x:v>
      </x:c>
      <x:c r="G5" s="9" t="str">
        <x:v>STATUS</x:v>
      </x:c>
      <x:c r="H5" s="9" t="str">
        <x:v>VALUE</x:v>
      </x:c>
    </x:row>
    <x:row r="6">
      <x:c r="A6" t="str">
        <x:v>Official FTA funding</x:v>
      </x:c>
      <x:c r="B6" s="10" t="n">
        <x:f>'QA Checks'!C5</x:f>
        <x:v>100250212</x:v>
      </x:c>
      <x:c r="D6" t="str">
        <x:v>Named pedestrian areas</x:v>
      </x:c>
      <x:c r="E6" t="n">
        <x:f>COUNTA('Pedestrian Areas'!B5:B26)</x:f>
        <x:v>22</x:v>
      </x:c>
      <x:c r="G6" t="str">
        <x:v>Funding reconciliation</x:v>
      </x:c>
      <x:c r="H6" t="str">
        <x:f>'QA Checks'!E7</x:f>
        <x:v>PASS</x:v>
      </x:c>
    </x:row>
    <x:row r="7">
      <x:c r="A7" t="str">
        <x:v>Category + reserve total</x:v>
      </x:c>
      <x:c r="B7" s="10" t="n">
        <x:f>'QA Checks'!C7</x:f>
        <x:v>100250212</x:v>
      </x:c>
      <x:c r="D7" t="str">
        <x:v>3D phase records</x:v>
      </x:c>
      <x:c r="E7" t="n">
        <x:f>COUNTA('3D Projects'!A5:A268)</x:f>
        <x:v>264</x:v>
      </x:c>
      <x:c r="G7" t="str">
        <x:v>Area shares</x:v>
      </x:c>
      <x:c r="H7" t="str">
        <x:f>'QA Checks'!E10</x:f>
        <x:v>PASS</x:v>
      </x:c>
    </x:row>
    <x:row r="8">
      <x:c r="A8" t="str">
        <x:v>Temporary allocation</x:v>
      </x:c>
      <x:c r="B8" s="10" t="n">
        <x:f>SUM('Funding Categories'!L5:L147)</x:f>
        <x:v>44128000</x:v>
      </x:c>
      <x:c r="D8" t="str">
        <x:v>Comparable-event records</x:v>
      </x:c>
      <x:c r="E8" t="n">
        <x:f>COUNTA('Analog Events'!A5:A18)</x:f>
        <x:v>14</x:v>
      </x:c>
      <x:c r="G8" t="str">
        <x:v>3D funding links</x:v>
      </x:c>
      <x:c r="H8" t="str">
        <x:f>'QA Checks'!E13</x:f>
        <x:v>PASS</x:v>
      </x:c>
    </x:row>
    <x:row r="9">
      <x:c r="A9" t="str">
        <x:v>Permanent allocation</x:v>
      </x:c>
      <x:c r="B9" s="10" t="n">
        <x:f>SUM('Funding Categories'!M5:M147)</x:f>
        <x:v>55552000</x:v>
      </x:c>
      <x:c r="D9" t="str">
        <x:v>ML scenario rows</x:v>
      </x:c>
      <x:c r="E9" t="n">
        <x:f>COUNTA('ML Dataset'!A5:A772)</x:f>
        <x:v>768</x:v>
      </x:c>
      <x:c r="G9" t="str">
        <x:v>Formula errors</x:v>
      </x:c>
      <x:c r="H9" t="str">
        <x:f>'QA Checks'!E15</x:f>
        <x:v>PASS</x:v>
      </x:c>
    </x:row>
    <x:row r="10">
      <x:c r="A10" t="str">
        <x:v>Unassigned reserve</x:v>
      </x:c>
      <x:c r="B10" s="10" t="n">
        <x:f>SUMIF('Funding Categories'!D5:D147,"reserve",'Funding Categories'!K5:K147)</x:f>
        <x:v>570212</x:v>
      </x:c>
    </x:row>
    <x:row r="11">
      <x:c r="A11" s="12" t="str">
        <x:v>How the datasets connect</x:v>
      </x:c>
      <x:c r="B11" s="12"/>
      <x:c r="C11" s="12"/>
      <x:c r="D11" s="12"/>
      <x:c r="E11" s="12"/>
      <x:c r="F11" s="12"/>
      <x:c r="G11" s="12"/>
      <x:c r="H11" s="12"/>
    </x:row>
    <x:row r="13">
      <x:c r="A13" s="9" t="str">
        <x:v>FROM</x:v>
      </x:c>
      <x:c r="B13" s="9" t="str">
        <x:v>TO</x:v>
      </x:c>
      <x:c r="C13" s="9" t="str">
        <x:v>RULE</x:v>
      </x:c>
    </x:row>
    <x:row r="14" ht="50" customHeight="1">
      <x:c r="A14" s="13" t="str">
        <x:v>ML Dataset.PrimaryAreaCode</x:v>
      </x:c>
      <x:c r="B14" s="13" t="str">
        <x:v>Pedestrian Areas.area_code</x:v>
      </x:c>
      <x:c r="C14" s="13" t="str">
        <x:v>Places every numeric scenario in one named analysis zone</x:v>
      </x:c>
    </x:row>
    <x:row r="15" ht="50" customHeight="1">
      <x:c r="A15" s="13" t="str">
        <x:v>3D Projects.area_id</x:v>
      </x:c>
      <x:c r="B15" s="13" t="str">
        <x:v>Pedestrian Areas.area_id</x:v>
      </x:c>
      <x:c r="C15" s="13" t="str">
        <x:v>Positions each temporary/permanent concept at a named access node</x:v>
      </x:c>
    </x:row>
    <x:row r="16" ht="50" customHeight="1">
      <x:c r="A16" s="13" t="str">
        <x:v>3D Projects.host_region + category</x:v>
      </x:c>
      <x:c r="B16" s="13" t="str">
        <x:v>Funding Categories.host_region + category</x:v>
      </x:c>
      <x:c r="C16" s="13" t="str">
        <x:v>Links every geometry phase to its allocation</x:v>
      </x:c>
    </x:row>
    <x:row r="17" ht="50" customHeight="1">
      <x:c r="A17" s="13" t="str">
        <x:v>Analog Events.host_region</x:v>
      </x:c>
      <x:c r="B17" s="13" t="str">
        <x:v>Pedestrian Areas.host_region</x:v>
      </x:c>
      <x:c r="C17" s="13" t="str">
        <x:v>Provides a scale comparator; it does not replace a pedestrian count</x:v>
      </x:c>
    </x:row>
    <x:row r="19">
      <x:c r="A19" s="33" t="str">
        <x:v>Non-negotiable evidence rule: official funding is official. Category allocations, temporary/permanent splits, design pedestrian volumes outside the observed NY/NJ total, and all 3D dimensions are engineering assumptions. Preserve evidence_class, qualifier, source_url, and spatial_precision in any dashboard or AI output.</x:v>
      </x:c>
      <x:c r="B19" s="34"/>
      <x:c r="C19" s="34"/>
      <x:c r="D19" s="34"/>
      <x:c r="E19" s="34"/>
      <x:c r="F19" s="34"/>
      <x:c r="G19" s="34"/>
      <x:c r="H19" s="35"/>
    </x:row>
    <x:row r="20">
      <x:c r="A20" s="36"/>
      <x:c r="B20" s="37"/>
      <x:c r="C20" s="37"/>
      <x:c r="D20" s="37"/>
      <x:c r="E20" s="37"/>
      <x:c r="F20" s="37"/>
      <x:c r="G20" s="37"/>
      <x:c r="H20" s="38"/>
    </x:row>
    <x:row r="21">
      <x:c r="A21" s="36"/>
      <x:c r="B21" s="37"/>
      <x:c r="C21" s="37"/>
      <x:c r="D21" s="37"/>
      <x:c r="E21" s="37"/>
      <x:c r="F21" s="37"/>
      <x:c r="G21" s="37"/>
      <x:c r="H21" s="38"/>
    </x:row>
    <x:row r="22">
      <x:c r="A22" s="39"/>
      <x:c r="B22" s="40"/>
      <x:c r="C22" s="40"/>
      <x:c r="D22" s="40"/>
      <x:c r="E22" s="40"/>
      <x:c r="F22" s="40"/>
      <x:c r="G22" s="40"/>
      <x:c r="H22" s="41"/>
    </x:row>
  </x:sheetData>
  <x:mergeCells>
    <x:mergeCell ref="A1:H1"/>
    <x:mergeCell ref="A2:H3"/>
    <x:mergeCell ref="A11:H11"/>
    <x:mergeCell ref="A19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16" hidden="0" customWidth="1"/>
    <x:col min="5" max="5" width="25" hidden="0" customWidth="1"/>
    <x:col min="6" max="6" width="45" hidden="0" customWidth="1"/>
    <x:col min="7" max="7" width="25" hidden="0" customWidth="1"/>
    <x:col min="8" max="8" width="14" hidden="0" customWidth="1"/>
    <x:col min="9" max="9" width="14" hidden="0" customWidth="1"/>
    <x:col min="10" max="10" width="18" hidden="0" customWidth="1"/>
    <x:col min="11" max="11" width="26" hidden="0" customWidth="1"/>
    <x:col min="12" max="12" width="13" hidden="0" customWidth="1"/>
    <x:col min="13" max="13" width="24" hidden="0" customWidth="1"/>
    <x:col min="14" max="14" width="20" hidden="0" customWidth="1"/>
    <x:col min="15" max="15" width="36" hidden="0" customWidth="1"/>
    <x:col min="16" max="16" width="42" hidden="0" customWidth="1"/>
    <x:col min="17" max="17" width="18" hidden="0" customWidth="1"/>
    <x:col min="18" max="18" width="23" hidden="0" customWidth="1"/>
    <x:col min="19" max="19" width="40" hidden="0" customWidth="1"/>
    <x:col min="20" max="20" width="48" hidden="0" customWidth="1"/>
    <x:col min="21" max="21" width="48" hidden="0" customWidth="1"/>
    <x:col min="22" max="22" width="25" hidden="0" customWidth="1"/>
    <x:col min="23" max="23" width="32" hidden="0" customWidth="1"/>
    <x:col min="24" max="24" width="68" hidden="0" customWidth="1"/>
  </x:cols>
  <x:sheetData>
    <x:row r="1" ht="30" customHeight="1">
      <x:c r="A1" s="43" t="str">
        <x:v>Named Pedestrian Analysis Areas</x:v>
      </x:c>
    </x:row>
    <x:row r="2" ht="40" customHeight="1">
      <x:c r="A2" s="46" t="str">
        <x:v>Each row is a specific access zone with a planning anchor and analysis radius. area_design_pedestrians is formula-derived. Comparator values may be attendance, transit boardings, a share, a plan, or an observed pedestrian count; read comparator_metric and qualifier together.</x:v>
      </x:c>
    </x:row>
    <x:row r="4">
      <x:c r="A4" s="49" t="str">
        <x:v>area_code</x:v>
      </x:c>
      <x:c r="B4" s="49" t="str">
        <x:v>area_short_code</x:v>
      </x:c>
      <x:c r="C4" s="49" t="str">
        <x:v>area_id</x:v>
      </x:c>
      <x:c r="D4" s="49" t="str">
        <x:v>city_id</x:v>
      </x:c>
      <x:c r="E4" s="49" t="str">
        <x:v>host_region</x:v>
      </x:c>
      <x:c r="F4" s="49" t="str">
        <x:v>exact_area_name</x:v>
      </x:c>
      <x:c r="G4" s="49" t="str">
        <x:v>area_type</x:v>
      </x:c>
      <x:c r="H4" s="49" t="str">
        <x:v>latitude</x:v>
      </x:c>
      <x:c r="I4" s="49" t="str">
        <x:v>longitude</x:v>
      </x:c>
      <x:c r="J4" s="49" t="str">
        <x:v>analysis_radius_m</x:v>
      </x:c>
      <x:c r="K4" s="49" t="str">
        <x:v>city_event_ped_design_total</x:v>
      </x:c>
      <x:c r="L4" s="49" t="str">
        <x:v>area_share</x:v>
      </x:c>
      <x:c r="M4" s="49" t="str">
        <x:v>area_design_pedestrians</x:v>
      </x:c>
      <x:c r="N4" s="49" t="str">
        <x:v>volume_unit</x:v>
      </x:c>
      <x:c r="O4" s="49" t="str">
        <x:v>volume_basis</x:v>
      </x:c>
      <x:c r="P4" s="49" t="str">
        <x:v>comparator_metric</x:v>
      </x:c>
      <x:c r="Q4" s="49" t="str">
        <x:v>comparator_value</x:v>
      </x:c>
      <x:c r="R4" s="49" t="str">
        <x:v>comparator_qualifier</x:v>
      </x:c>
      <x:c r="S4" s="49" t="str">
        <x:v>comparator_scope_note</x:v>
      </x:c>
      <x:c r="T4" s="49" t="str">
        <x:v>temporary_area_fix</x:v>
      </x:c>
      <x:c r="U4" s="49" t="str">
        <x:v>permanent_area_fix</x:v>
      </x:c>
      <x:c r="V4" s="49" t="str">
        <x:v>spatial_precision</x:v>
      </x:c>
      <x:c r="W4" s="49" t="str">
        <x:v>evidence_class</x:v>
      </x:c>
      <x:c r="X4" s="49" t="str">
        <x:v>source_url</x:v>
      </x:c>
    </x:row>
    <x:row r="5">
      <x:c r="A5" s="52" t="n">
        <x:v>1</x:v>
      </x:c>
      <x:c r="B5" s="52" t="str">
        <x:v>ATL-VC</x:v>
      </x:c>
      <x:c r="C5" s="52" t="str">
        <x:v>atl-vine-city</x:v>
      </x:c>
      <x:c r="D5" s="52" t="str">
        <x:v>atlanta</x:v>
      </x:c>
      <x:c r="E5" s="52" t="str">
        <x:v>Atlanta</x:v>
      </x:c>
      <x:c r="F5" s="52" t="str">
        <x:v>Vine City Station–Northside Drive approach</x:v>
      </x:c>
      <x:c r="G5" s="52" t="str">
        <x:v>rail_station_walkshed</x:v>
      </x:c>
      <x:c r="H5" s="53" t="n">
        <x:v>33.7565</x:v>
      </x:c>
      <x:c r="I5" s="53" t="n">
        <x:v>-84.4038</x:v>
      </x:c>
      <x:c r="J5" s="54" t="n">
        <x:v>250</x:v>
      </x:c>
      <x:c r="K5" s="54" t="n">
        <x:v>25931</x:v>
      </x:c>
      <x:c r="L5" s="55" t="n">
        <x:v>0.58</x:v>
      </x:c>
      <x:c r="M5" s="54" t="n">
        <x:f>ROUND(K5*L5,0)</x:f>
        <x:v>15040</x:v>
      </x:c>
      <x:c r="N5" s="52" t="str">
        <x:v>pedestrians/event</x:v>
      </x:c>
      <x:c r="O5" s="52" t="str">
        <x:v>capacity × modeled external-pedestrian share</x:v>
      </x:c>
      <x:c r="P5" s="52" t="str">
        <x:v>Vine City share of 2026 match-day rail demand</x:v>
      </x:c>
      <x:c r="Q5" s="52" t="n">
        <x:v>0.14</x:v>
      </x:c>
      <x:c r="R5" s="52" t="str">
        <x:v>reported share</x:v>
      </x:c>
      <x:c r="S5" s="52" t="str">
        <x:v>Vine City station/venue access pages</x:v>
      </x:c>
      <x:c r="T5" s="52" t="str">
        <x:v>temporary queue fencing; crossing marshals; portable lighting</x:v>
      </x:c>
      <x:c r="U5" s="52" t="str">
        <x:v>widened crossings; permanent lighting; protected pedestrian separation</x:v>
      </x:c>
      <x:c r="V5" s="52" t="str">
        <x:v>planning_anchor ±25–100 m</x:v>
      </x:c>
      <x:c r="W5" s="52" t="str">
        <x:v>engineering_assumption with cited comparator</x:v>
      </x:c>
      <x:c r="X5" s="52" t="str">
        <x:v>https://www.itsmarta.com/Vine-City.aspx</x:v>
      </x:c>
    </x:row>
    <x:row r="6">
      <x:c r="A6" s="52" t="n">
        <x:v>2</x:v>
      </x:c>
      <x:c r="B6" s="52" t="str">
        <x:v>ATL-SEC</x:v>
      </x:c>
      <x:c r="C6" s="52" t="str">
        <x:v>atl-sec-district</x:v>
      </x:c>
      <x:c r="D6" s="52" t="str">
        <x:v>atlanta</x:v>
      </x:c>
      <x:c r="E6" s="52" t="str">
        <x:v>Atlanta</x:v>
      </x:c>
      <x:c r="F6" s="52" t="str">
        <x:v>GWCC/CNN Center–Andrew Young International Boulevard approach</x:v>
      </x:c>
      <x:c r="G6" s="52" t="str">
        <x:v>downtown_event_district</x:v>
      </x:c>
      <x:c r="H6" s="53" t="n">
        <x:v>33.7564</x:v>
      </x:c>
      <x:c r="I6" s="53" t="n">
        <x:v>-84.3986</x:v>
      </x:c>
      <x:c r="J6" s="54" t="n">
        <x:v>300</x:v>
      </x:c>
      <x:c r="K6" s="54" t="n">
        <x:v>25931</x:v>
      </x:c>
      <x:c r="L6" s="55" t="n">
        <x:v>0.42</x:v>
      </x:c>
      <x:c r="M6" s="54" t="n">
        <x:f>ROUND(K6*L6,0)</x:f>
        <x:v>10891</x:v>
      </x:c>
      <x:c r="N6" s="52" t="str">
        <x:v>pedestrians/event</x:v>
      </x:c>
      <x:c r="O6" s="52" t="str">
        <x:v>capacity × modeled external-pedestrian share</x:v>
      </x:c>
      <x:c r="P6" s="52" t="str">
        <x:v>SEC District share of 2026 match-day rail demand</x:v>
      </x:c>
      <x:c r="Q6" s="52" t="n">
        <x:v>0.38</x:v>
      </x:c>
      <x:c r="R6" s="52" t="str">
        <x:v>reported share</x:v>
      </x:c>
      <x:c r="S6" s="52" t="str">
        <x:v>SEC District proxy for the GWCC/CNN Center stadium approach</x:v>
      </x:c>
      <x:c r="T6" s="52" t="str">
        <x:v>temporary pedestrian street management; ambassadors</x:v>
      </x:c>
      <x:c r="U6" s="52" t="str">
        <x:v>wider sidewalks; upgraded signals; permanent multilingual wayfinding</x:v>
      </x:c>
      <x:c r="V6" s="52" t="str">
        <x:v>planning_anchor ±25–100 m</x:v>
      </x:c>
      <x:c r="W6" s="52" t="str">
        <x:v>engineering_assumption with cited comparator</x:v>
      </x:c>
      <x:c r="X6" s="52" t="str">
        <x:v>https://www.mercedesbenzstadium.com/stadium-maps</x:v>
      </x:c>
    </x:row>
    <x:row r="7">
      <x:c r="A7" s="52" t="n">
        <x:v>3</x:v>
      </x:c>
      <x:c r="B7" s="52" t="str">
        <x:v>BOS-FXR</x:v>
      </x:c>
      <x:c r="C7" s="52" t="str">
        <x:v>bos-foxboro-station</x:v>
      </x:c>
      <x:c r="D7" s="52" t="str">
        <x:v>boston</x:v>
      </x:c>
      <x:c r="E7" s="52" t="str">
        <x:v>Boston</x:v>
      </x:c>
      <x:c r="F7" s="52" t="str">
        <x:v>Foxboro Station platform and stadium underpass</x:v>
      </x:c>
      <x:c r="G7" s="52" t="str">
        <x:v>event_rail_station</x:v>
      </x:c>
      <x:c r="H7" s="53" t="n">
        <x:v>42.0889</x:v>
      </x:c>
      <x:c r="I7" s="53" t="n">
        <x:v>-71.2597</x:v>
      </x:c>
      <x:c r="J7" s="54" t="n">
        <x:v>250</x:v>
      </x:c>
      <x:c r="K7" s="54" t="n">
        <x:v>14112</x:v>
      </x:c>
      <x:c r="L7" s="55" t="n">
        <x:v>0.65</x:v>
      </x:c>
      <x:c r="M7" s="54" t="n">
        <x:f>ROUND(K7*L7,0)</x:f>
        <x:v>9173</x:v>
      </x:c>
      <x:c r="N7" s="52" t="str">
        <x:v>pedestrians/event</x:v>
      </x:c>
      <x:c r="O7" s="52" t="str">
        <x:v>capacity × modeled external-pedestrian share</x:v>
      </x:c>
      <x:c r="P7" s="52" t="str">
        <x:v>Average event-train round-trip tickets per 2026 match</x:v>
      </x:c>
      <x:c r="Q7" s="52" t="n">
        <x:v>15563</x:v>
      </x:c>
      <x:c r="R7" s="52" t="str">
        <x:v>derived: 108,940 / 7</x:v>
      </x:c>
      <x:c r="S7" s="52" t="str">
        <x:v>Official state post-event total divided by seven matches</x:v>
      </x:c>
      <x:c r="T7" s="52" t="str">
        <x:v>platform queue barriers; timed train release</x:v>
      </x:c>
      <x:c r="U7" s="52" t="str">
        <x:v>platform/gate expansion; accessible circulation; redundant passenger information</x:v>
      </x:c>
      <x:c r="V7" s="52" t="str">
        <x:v>planning_anchor ±25–100 m</x:v>
      </x:c>
      <x:c r="W7" s="52" t="str">
        <x:v>engineering_assumption with cited comparator</x:v>
      </x:c>
      <x:c r="X7" s="52" t="str">
        <x:v>https://www.mbta.com/stops/place-FB-0191</x:v>
      </x:c>
    </x:row>
    <x:row r="8">
      <x:c r="A8" s="52" t="n">
        <x:v>4</x:v>
      </x:c>
      <x:c r="B8" s="52" t="str">
        <x:v>BOS-GA</x:v>
      </x:c>
      <x:c r="C8" s="52" t="str">
        <x:v>bos-patriot-place-gate-a</x:v>
      </x:c>
      <x:c r="D8" s="52" t="str">
        <x:v>boston</x:v>
      </x:c>
      <x:c r="E8" s="52" t="str">
        <x:v>Boston</x:v>
      </x:c>
      <x:c r="F8" s="52" t="str">
        <x:v>Patriot Place north plaza and Gate A</x:v>
      </x:c>
      <x:c r="G8" s="52" t="str">
        <x:v>stadium_plaza</x:v>
      </x:c>
      <x:c r="H8" s="53" t="n">
        <x:v>42.0916</x:v>
      </x:c>
      <x:c r="I8" s="53" t="n">
        <x:v>-71.2648</x:v>
      </x:c>
      <x:c r="J8" s="54" t="n">
        <x:v>300</x:v>
      </x:c>
      <x:c r="K8" s="54" t="n">
        <x:v>14112</x:v>
      </x:c>
      <x:c r="L8" s="55" t="n">
        <x:v>0.35</x:v>
      </x:c>
      <x:c r="M8" s="54" t="n">
        <x:f>ROUND(K8*L8,0)</x:f>
        <x:v>4939</x:v>
      </x:c>
      <x:c r="N8" s="52" t="str">
        <x:v>pedestrians/event</x:v>
      </x:c>
      <x:c r="O8" s="52" t="str">
        <x:v>capacity × modeled external-pedestrian share</x:v>
      </x:c>
      <x:c r="P8" s="52" t="str">
        <x:v>World Cup stadium capacity</x:v>
      </x:c>
      <x:c r="Q8" s="52" t="n">
        <x:v>64146</x:v>
      </x:c>
      <x:c r="R8" s="52" t="str">
        <x:v>official final capacity</x:v>
      </x:c>
      <x:c r="S8" s="52" t="str">
        <x:v>Capacity is not an observed area count</x:v>
      </x:c>
      <x:c r="T8" s="52" t="str">
        <x:v>temporary fan pens; shade/water; crossing staff</x:v>
      </x:c>
      <x:c r="U8" s="52" t="str">
        <x:v>permanent shaded plaza; wider accessible path; fixed wayfinding</x:v>
      </x:c>
      <x:c r="V8" s="52" t="str">
        <x:v>planning_anchor ±25–100 m</x:v>
      </x:c>
      <x:c r="W8" s="52" t="str">
        <x:v>engineering_assumption with cited comparator</x:v>
      </x:c>
      <x:c r="X8" s="52" t="str">
        <x:v>https://www.gillettestadium.com/</x:v>
      </x:c>
    </x:row>
    <x:row r="9">
      <x:c r="A9" s="52" t="n">
        <x:v>5</x:v>
      </x:c>
      <x:c r="B9" s="52" t="str">
        <x:v>DAL-EPL</x:v>
      </x:c>
      <x:c r="C9" s="52" t="str">
        <x:v>dal-att-way-east-plaza</x:v>
      </x:c>
      <x:c r="D9" s="52" t="str">
        <x:v>dallas</x:v>
      </x:c>
      <x:c r="E9" s="52" t="str">
        <x:v>Dallas</x:v>
      </x:c>
      <x:c r="F9" s="52" t="str">
        <x:v>AT&amp;T Way east plaza approach</x:v>
      </x:c>
      <x:c r="G9" s="52" t="str">
        <x:v>stadium_plaza</x:v>
      </x:c>
      <x:c r="H9" s="53" t="n">
        <x:v>32.7479</x:v>
      </x:c>
      <x:c r="I9" s="53" t="n">
        <x:v>-97.0909</x:v>
      </x:c>
      <x:c r="J9" s="54" t="n">
        <x:v>300</x:v>
      </x:c>
      <x:c r="K9" s="54" t="n">
        <x:v>10597</x:v>
      </x:c>
      <x:c r="L9" s="55" t="n">
        <x:v>0.55</x:v>
      </x:c>
      <x:c r="M9" s="54" t="n">
        <x:f>ROUND(K9*L9,0)</x:f>
        <x:v>5828</x:v>
      </x:c>
      <x:c r="N9" s="52" t="str">
        <x:v>pedestrians/event</x:v>
      </x:c>
      <x:c r="O9" s="52" t="str">
        <x:v>capacity × modeled external-pedestrian share</x:v>
      </x:c>
      <x:c r="P9" s="52" t="str">
        <x:v>WrestleMania 38 average attendance per night</x:v>
      </x:c>
      <x:c r="Q9" s="52" t="n">
        <x:v>78176</x:v>
      </x:c>
      <x:c r="R9" s="52" t="str">
        <x:v>derived: 156,352 / 2</x:v>
      </x:c>
      <x:c r="S9" s="52" t="str">
        <x:v>Comparable event at the same venue</x:v>
      </x:c>
      <x:c r="T9" s="52" t="str">
        <x:v>temporary bollards; pedestrian-only windows; shuttle marshals</x:v>
      </x:c>
      <x:c r="U9" s="52" t="str">
        <x:v>permanent protected promenade; signalized crossings; shade</x:v>
      </x:c>
      <x:c r="V9" s="52" t="str">
        <x:v>planning_anchor ±25–100 m</x:v>
      </x:c>
      <x:c r="W9" s="52" t="str">
        <x:v>engineering_assumption with cited comparator</x:v>
      </x:c>
      <x:c r="X9" s="52" t="str">
        <x:v>https://attstadium.com/stadium-info/parking/</x:v>
      </x:c>
    </x:row>
    <x:row r="10">
      <x:c r="A10" s="52" t="n">
        <x:v>6</x:v>
      </x:c>
      <x:c r="B10" s="52" t="str">
        <x:v>DAL-MLH</x:v>
      </x:c>
      <x:c r="C10" s="52" t="str">
        <x:v>dal-miller-litehouse</x:v>
      </x:c>
      <x:c r="D10" s="52" t="str">
        <x:v>dallas</x:v>
      </x:c>
      <x:c r="E10" s="52" t="str">
        <x:v>Dallas</x:v>
      </x:c>
      <x:c r="F10" s="52" t="str">
        <x:v>Miller LiteHouse pickup at North Collins Street and Cowboys Way</x:v>
      </x:c>
      <x:c r="G10" s="52" t="str">
        <x:v>curb_mobility_zone</x:v>
      </x:c>
      <x:c r="H10" s="53" t="n">
        <x:v>32.7506</x:v>
      </x:c>
      <x:c r="I10" s="53" t="n">
        <x:v>-97.0915</x:v>
      </x:c>
      <x:c r="J10" s="54" t="n">
        <x:v>350</x:v>
      </x:c>
      <x:c r="K10" s="54" t="n">
        <x:v>10597</x:v>
      </x:c>
      <x:c r="L10" s="55" t="n">
        <x:v>0.45</x:v>
      </x:c>
      <x:c r="M10" s="54" t="n">
        <x:f>ROUND(K10*L10,0)</x:f>
        <x:v>4769</x:v>
      </x:c>
      <x:c r="N10" s="52" t="str">
        <x:v>pedestrians/event</x:v>
      </x:c>
      <x:c r="O10" s="52" t="str">
        <x:v>capacity × modeled external-pedestrian share</x:v>
      </x:c>
      <x:c r="P10" s="52" t="str">
        <x:v>WrestleMania 38 total two-night attendance</x:v>
      </x:c>
      <x:c r="Q10" s="52" t="n">
        <x:v>156352</x:v>
      </x:c>
      <x:c r="R10" s="52" t="str">
        <x:v>promoter-announced</x:v>
      </x:c>
      <x:c r="S10" s="52" t="str">
        <x:v>Two-night total, not simultaneous occupancy</x:v>
      </x:c>
      <x:c r="T10" s="52" t="str">
        <x:v>geofenced TNC queue; temporary bus bays; cones</x:v>
      </x:c>
      <x:c r="U10" s="52" t="str">
        <x:v>permanent mobility hub; off-street bays; pedestrian refuge islands</x:v>
      </x:c>
      <x:c r="V10" s="52" t="str">
        <x:v>planning_anchor ±25–100 m</x:v>
      </x:c>
      <x:c r="W10" s="52" t="str">
        <x:v>engineering_assumption with cited comparator</x:v>
      </x:c>
      <x:c r="X10" s="52" t="str">
        <x:v>https://attstadium.com/stadium-info/parking/</x:v>
      </x:c>
    </x:row>
    <x:row r="11">
      <x:c r="A11" s="52" t="n">
        <x:v>7</x:v>
      </x:c>
      <x:c r="B11" s="52" t="str">
        <x:v>HOU-SPA</x:v>
      </x:c>
      <x:c r="C11" s="52" t="str">
        <x:v>hou-stadium-park-astrodome</x:v>
      </x:c>
      <x:c r="D11" s="52" t="str">
        <x:v>houston</x:v>
      </x:c>
      <x:c r="E11" s="52" t="str">
        <x:v>Houston</x:v>
      </x:c>
      <x:c r="F11" s="52" t="str">
        <x:v>Stadium Park/Astrodome Station–Fannin Street approach</x:v>
      </x:c>
      <x:c r="G11" s="52" t="str">
        <x:v>light_rail_station</x:v>
      </x:c>
      <x:c r="H11" s="53" t="n">
        <x:v>29.6852</x:v>
      </x:c>
      <x:c r="I11" s="53" t="n">
        <x:v>-95.407</x:v>
      </x:c>
      <x:c r="J11" s="54" t="n">
        <x:v>250</x:v>
      </x:c>
      <x:c r="K11" s="54" t="n">
        <x:v>21321</x:v>
      </x:c>
      <x:c r="L11" s="55" t="n">
        <x:v>0.6</x:v>
      </x:c>
      <x:c r="M11" s="54" t="n">
        <x:f>ROUND(K11*L11,0)</x:f>
        <x:v>12793</x:v>
      </x:c>
      <x:c r="N11" s="52" t="str">
        <x:v>pedestrians/event</x:v>
      </x:c>
      <x:c r="O11" s="52" t="str">
        <x:v>capacity × modeled external-pedestrian share</x:v>
      </x:c>
      <x:c r="P11" s="52" t="str">
        <x:v>Super Bowl LI paid attendance</x:v>
      </x:c>
      <x:c r="Q11" s="52" t="n">
        <x:v>70807</x:v>
      </x:c>
      <x:c r="R11" s="52" t="str">
        <x:v>official gamebook</x:v>
      </x:c>
      <x:c r="S11" s="52" t="str">
        <x:v>Comparable event at the same venue</x:v>
      </x:c>
      <x:c r="T11" s="52" t="str">
        <x:v>platform queue barriers; rail surge staff</x:v>
      </x:c>
      <x:c r="U11" s="52" t="str">
        <x:v>platform access expansion; protected Fannin crossing; fixed passenger information</x:v>
      </x:c>
      <x:c r="V11" s="52" t="str">
        <x:v>planning_anchor ±25–100 m</x:v>
      </x:c>
      <x:c r="W11" s="52" t="str">
        <x:v>engineering_assumption with cited comparator</x:v>
      </x:c>
      <x:c r="X11" s="52" t="str">
        <x:v>https://www.ridemetro.org/riding-metro/houston-attractions/reliant-park</x:v>
      </x:c>
    </x:row>
    <x:row r="12">
      <x:c r="A12" s="52" t="n">
        <x:v>8</x:v>
      </x:c>
      <x:c r="B12" s="52" t="str">
        <x:v>HOU-KIR</x:v>
      </x:c>
      <x:c r="C12" s="52" t="str">
        <x:v>hou-kirby-nrg</x:v>
      </x:c>
      <x:c r="D12" s="52" t="str">
        <x:v>houston</x:v>
      </x:c>
      <x:c r="E12" s="52" t="str">
        <x:v>Houston</x:v>
      </x:c>
      <x:c r="F12" s="52" t="str">
        <x:v>Kirby Drive and NRG Parkway west gate</x:v>
      </x:c>
      <x:c r="G12" s="52" t="str">
        <x:v>arterial_stadium_gate</x:v>
      </x:c>
      <x:c r="H12" s="53" t="n">
        <x:v>29.6846</x:v>
      </x:c>
      <x:c r="I12" s="53" t="n">
        <x:v>-95.4141</x:v>
      </x:c>
      <x:c r="J12" s="54" t="n">
        <x:v>300</x:v>
      </x:c>
      <x:c r="K12" s="54" t="n">
        <x:v>21321</x:v>
      </x:c>
      <x:c r="L12" s="55" t="n">
        <x:v>0.4</x:v>
      </x:c>
      <x:c r="M12" s="54" t="n">
        <x:f>ROUND(K12*L12,0)</x:f>
        <x:v>8528</x:v>
      </x:c>
      <x:c r="N12" s="52" t="str">
        <x:v>pedestrians/event</x:v>
      </x:c>
      <x:c r="O12" s="52" t="str">
        <x:v>capacity × modeled external-pedestrian share</x:v>
      </x:c>
      <x:c r="P12" s="52" t="str">
        <x:v>World Cup stadium capacity</x:v>
      </x:c>
      <x:c r="Q12" s="52" t="n">
        <x:v>68777</x:v>
      </x:c>
      <x:c r="R12" s="52" t="str">
        <x:v>official final capacity</x:v>
      </x:c>
      <x:c r="S12" s="52" t="str">
        <x:v>Capacity is not an observed area count</x:v>
      </x:c>
      <x:c r="T12" s="52" t="str">
        <x:v>lane closures; staffed crossings; portable barriers</x:v>
      </x:c>
      <x:c r="U12" s="52" t="str">
        <x:v>raised crossings; permanent signal priority; wider west-gate sidewalk</x:v>
      </x:c>
      <x:c r="V12" s="52" t="str">
        <x:v>planning_anchor ±25–100 m</x:v>
      </x:c>
      <x:c r="W12" s="52" t="str">
        <x:v>engineering_assumption with cited comparator</x:v>
      </x:c>
      <x:c r="X12" s="52" t="str">
        <x:v>https://www.reliantpark.com/maps/</x:v>
      </x:c>
    </x:row>
    <x:row r="13">
      <x:c r="A13" s="52" t="n">
        <x:v>9</x:v>
      </x:c>
      <x:c r="B13" s="52" t="str">
        <x:v>KC-BRC</x:v>
      </x:c>
      <x:c r="C13" s="52" t="str">
        <x:v>kc-blue-ridge-gate3</x:v>
      </x:c>
      <x:c r="D13" s="52" t="str">
        <x:v>kansas-city</x:v>
      </x:c>
      <x:c r="E13" s="52" t="str">
        <x:v>Kansas City</x:v>
      </x:c>
      <x:c r="F13" s="52" t="str">
        <x:v>Blue Ridge Cutoff Gate 3 and bus zone</x:v>
      </x:c>
      <x:c r="G13" s="52" t="str">
        <x:v>bus_arrival_zone</x:v>
      </x:c>
      <x:c r="H13" s="53" t="n">
        <x:v>39.0471</x:v>
      </x:c>
      <x:c r="I13" s="53" t="n">
        <x:v>-94.4806</x:v>
      </x:c>
      <x:c r="J13" s="54" t="n">
        <x:v>350</x:v>
      </x:c>
      <x:c r="K13" s="54" t="n">
        <x:v>8285</x:v>
      </x:c>
      <x:c r="L13" s="55" t="n">
        <x:v>0.55</x:v>
      </x:c>
      <x:c r="M13" s="54" t="n">
        <x:f>ROUND(K13*L13,0)</x:f>
        <x:v>4557</x:v>
      </x:c>
      <x:c r="N13" s="52" t="str">
        <x:v>pedestrians/event</x:v>
      </x:c>
      <x:c r="O13" s="52" t="str">
        <x:v>capacity × modeled external-pedestrian share</x:v>
      </x:c>
      <x:c r="P13" s="52" t="str">
        <x:v>World Cup stadium capacity</x:v>
      </x:c>
      <x:c r="Q13" s="52" t="n">
        <x:v>69045</x:v>
      </x:c>
      <x:c r="R13" s="52" t="str">
        <x:v>official final capacity</x:v>
      </x:c>
      <x:c r="S13" s="52" t="str">
        <x:v>Capacity is not an observed area count</x:v>
      </x:c>
      <x:c r="T13" s="52" t="str">
        <x:v>temporary bus-only access; managed unloading; cones</x:v>
      </x:c>
      <x:c r="U13" s="52" t="str">
        <x:v>permanent bus-priority approach; accessible platforms; signal control</x:v>
      </x:c>
      <x:c r="V13" s="52" t="str">
        <x:v>planning_anchor ±25–100 m</x:v>
      </x:c>
      <x:c r="W13" s="52" t="str">
        <x:v>engineering_assumption with cited comparator</x:v>
      </x:c>
      <x:c r="X13" s="52" t="str">
        <x:v>https://www.arrowheadstadiumkc.com/plan-your-visit/parking-tailgating/maps-directions</x:v>
      </x:c>
    </x:row>
    <x:row r="14">
      <x:c r="A14" s="52" t="n">
        <x:v>10</x:v>
      </x:c>
      <x:c r="B14" s="52" t="str">
        <x:v>KC-WPL</x:v>
      </x:c>
      <x:c r="C14" s="52" t="str">
        <x:v>kc-west-plaza</x:v>
      </x:c>
      <x:c r="D14" s="52" t="str">
        <x:v>kansas-city</x:v>
      </x:c>
      <x:c r="E14" s="52" t="str">
        <x:v>Kansas City</x:v>
      </x:c>
      <x:c r="F14" s="52" t="str">
        <x:v>Arrowhead west parking and plaza approach</x:v>
      </x:c>
      <x:c r="G14" s="52" t="str">
        <x:v>parking_plaza</x:v>
      </x:c>
      <x:c r="H14" s="53" t="n">
        <x:v>39.0491</x:v>
      </x:c>
      <x:c r="I14" s="53" t="n">
        <x:v>-94.4871</x:v>
      </x:c>
      <x:c r="J14" s="54" t="n">
        <x:v>400</x:v>
      </x:c>
      <x:c r="K14" s="54" t="n">
        <x:v>8285</x:v>
      </x:c>
      <x:c r="L14" s="55" t="n">
        <x:v>0.45</x:v>
      </x:c>
      <x:c r="M14" s="54" t="n">
        <x:f>ROUND(K14*L14,0)</x:f>
        <x:v>3728</x:v>
      </x:c>
      <x:c r="N14" s="52" t="str">
        <x:v>pedestrians/event</x:v>
      </x:c>
      <x:c r="O14" s="52" t="str">
        <x:v>capacity × modeled external-pedestrian share</x:v>
      </x:c>
      <x:c r="P14" s="52" t="str">
        <x:v>In-house Chiefs event crowd benchmark</x:v>
      </x:c>
      <x:c r="Q14" s="52" t="n">
        <x:v>70000</x:v>
      </x:c>
      <x:c r="R14" s="52" t="str">
        <x:v>lower-bound reported</x:v>
      </x:c>
      <x:c r="S14" s="52" t="str">
        <x:v>Use as a lower-bound analog, not an audited count</x:v>
      </x:c>
      <x:c r="T14" s="52" t="str">
        <x:v>temporary protected walk aisles; lighting towers</x:v>
      </x:c>
      <x:c r="U14" s="52" t="str">
        <x:v>permanent walk spine; planted shade; separated crossings</x:v>
      </x:c>
      <x:c r="V14" s="52" t="str">
        <x:v>planning_anchor ±25–100 m</x:v>
      </x:c>
      <x:c r="W14" s="52" t="str">
        <x:v>engineering_assumption with cited comparator</x:v>
      </x:c>
      <x:c r="X14" s="52" t="str">
        <x:v>https://www.arrowheadstadiumkc.com/plan-your-visit/parking-tailgating/maps-directions</x:v>
      </x:c>
    </x:row>
    <x:row r="15">
      <x:c r="A15" s="52" t="n">
        <x:v>11</x:v>
      </x:c>
      <x:c r="B15" s="52" t="str">
        <x:v>LA-SPP</x:v>
      </x:c>
      <x:c r="C15" s="52" t="str">
        <x:v>la-sofi-south-plaza</x:v>
      </x:c>
      <x:c r="D15" s="52" t="str">
        <x:v>los-angeles</x:v>
      </x:c>
      <x:c r="E15" s="52" t="str">
        <x:v>Los Angeles</x:v>
      </x:c>
      <x:c r="F15" s="52" t="str">
        <x:v>SoFi south plaza at Pincay Drive and Prairie Avenue</x:v>
      </x:c>
      <x:c r="G15" s="52" t="str">
        <x:v>stadium_plaza</x:v>
      </x:c>
      <x:c r="H15" s="53" t="n">
        <x:v>33.9509</x:v>
      </x:c>
      <x:c r="I15" s="53" t="n">
        <x:v>-118.3441</x:v>
      </x:c>
      <x:c r="J15" s="54" t="n">
        <x:v>350</x:v>
      </x:c>
      <x:c r="K15" s="54" t="n">
        <x:v>14098</x:v>
      </x:c>
      <x:c r="L15" s="55" t="n">
        <x:v>0.5</x:v>
      </x:c>
      <x:c r="M15" s="54" t="n">
        <x:f>ROUND(K15*L15,0)</x:f>
        <x:v>7049</x:v>
      </x:c>
      <x:c r="N15" s="52" t="str">
        <x:v>pedestrians/event</x:v>
      </x:c>
      <x:c r="O15" s="52" t="str">
        <x:v>capacity × modeled external-pedestrian share</x:v>
      </x:c>
      <x:c r="P15" s="52" t="str">
        <x:v>Super Bowl LVI attendance</x:v>
      </x:c>
      <x:c r="Q15" s="52" t="n">
        <x:v>70048</x:v>
      </x:c>
      <x:c r="R15" s="52" t="str">
        <x:v>official result</x:v>
      </x:c>
      <x:c r="S15" s="52" t="str">
        <x:v>Comparable event at the same venue</x:v>
      </x:c>
      <x:c r="T15" s="52" t="str">
        <x:v>temporary pedestrianized frontage; shade/water; crowd gates</x:v>
      </x:c>
      <x:c r="U15" s="52" t="str">
        <x:v>permanent car-free plaza edge; protected crossings; shade structures</x:v>
      </x:c>
      <x:c r="V15" s="52" t="str">
        <x:v>planning_anchor ±25–100 m</x:v>
      </x:c>
      <x:c r="W15" s="52" t="str">
        <x:v>engineering_assumption with cited comparator</x:v>
      </x:c>
      <x:c r="X15" s="52" t="str">
        <x:v>https://www.sofistadium.com/plan-your-visit/maps</x:v>
      </x:c>
    </x:row>
    <x:row r="16">
      <x:c r="A16" s="52" t="n">
        <x:v>12</x:v>
      </x:c>
      <x:c r="B16" s="52" t="str">
        <x:v>LA-DTI</x:v>
      </x:c>
      <x:c r="C16" s="52" t="str">
        <x:v>la-downtown-inglewood</x:v>
      </x:c>
      <x:c r="D16" s="52" t="str">
        <x:v>los-angeles</x:v>
      </x:c>
      <x:c r="E16" s="52" t="str">
        <x:v>Los Angeles</x:v>
      </x:c>
      <x:c r="F16" s="52" t="str">
        <x:v>Downtown Inglewood K Line shuttle interchange</x:v>
      </x:c>
      <x:c r="G16" s="52" t="str">
        <x:v>rail_shuttle_interchange</x:v>
      </x:c>
      <x:c r="H16" s="53" t="n">
        <x:v>33.9552</x:v>
      </x:c>
      <x:c r="I16" s="53" t="n">
        <x:v>-118.3557</x:v>
      </x:c>
      <x:c r="J16" s="54" t="n">
        <x:v>400</x:v>
      </x:c>
      <x:c r="K16" s="54" t="n">
        <x:v>14098</x:v>
      </x:c>
      <x:c r="L16" s="55" t="n">
        <x:v>0.5</x:v>
      </x:c>
      <x:c r="M16" s="54" t="n">
        <x:f>ROUND(K16*L16,0)</x:f>
        <x:v>7049</x:v>
      </x:c>
      <x:c r="N16" s="52" t="str">
        <x:v>pedestrians/event</x:v>
      </x:c>
      <x:c r="O16" s="52" t="str">
        <x:v>capacity × modeled external-pedestrian share</x:v>
      </x:c>
      <x:c r="P16" s="52" t="str">
        <x:v>Direct stadium rides during 2026 tournament</x:v>
      </x:c>
      <x:c r="Q16" s="52" t="n">
        <x:v>212865</x:v>
      </x:c>
      <x:c r="R16" s="52" t="str">
        <x:v>reported tournament total</x:v>
      </x:c>
      <x:c r="S16" s="52" t="str">
        <x:v>All tournament rides, not one match</x:v>
      </x:c>
      <x:c r="T16" s="52" t="str">
        <x:v>temporary shuttle platforms; queue fencing; dispatch staff</x:v>
      </x:c>
      <x:c r="U16" s="52" t="str">
        <x:v>permanent mobility hub; wider platforms; real-time dispatch system</x:v>
      </x:c>
      <x:c r="V16" s="52" t="str">
        <x:v>planning_anchor ±25–100 m</x:v>
      </x:c>
      <x:c r="W16" s="52" t="str">
        <x:v>engineering_assumption with cited comparator</x:v>
      </x:c>
      <x:c r="X16" s="52" t="str">
        <x:v>https://www.metro.net/riding/gameday/</x:v>
      </x:c>
    </x:row>
    <x:row r="17">
      <x:c r="A17" s="52" t="n">
        <x:v>13</x:v>
      </x:c>
      <x:c r="B17" s="52" t="str">
        <x:v>MIA-NW27</x:v>
      </x:c>
      <x:c r="C17" s="52" t="str">
        <x:v>mia-nw199-nw27</x:v>
      </x:c>
      <x:c r="D17" s="52" t="str">
        <x:v>miami</x:v>
      </x:c>
      <x:c r="E17" s="52" t="str">
        <x:v>Miami</x:v>
      </x:c>
      <x:c r="F17" s="52" t="str">
        <x:v>NW 199th Street and NW 27th Avenue approach</x:v>
      </x:c>
      <x:c r="G17" s="52" t="str">
        <x:v>arterial_stadium_gate</x:v>
      </x:c>
      <x:c r="H17" s="53" t="n">
        <x:v>25.957</x:v>
      </x:c>
      <x:c r="I17" s="53" t="n">
        <x:v>-80.2425</x:v>
      </x:c>
      <x:c r="J17" s="54" t="n">
        <x:v>400</x:v>
      </x:c>
      <x:c r="K17" s="54" t="n">
        <x:v>9027</x:v>
      </x:c>
      <x:c r="L17" s="55" t="n">
        <x:v>0.55</x:v>
      </x:c>
      <x:c r="M17" s="54" t="n">
        <x:f>ROUND(K17*L17,0)</x:f>
        <x:v>4965</x:v>
      </x:c>
      <x:c r="N17" s="52" t="str">
        <x:v>pedestrians/event</x:v>
      </x:c>
      <x:c r="O17" s="52" t="str">
        <x:v>capacity × modeled external-pedestrian share</x:v>
      </x:c>
      <x:c r="P17" s="52" t="str">
        <x:v>Official 2026 shuttle hubs</x:v>
      </x:c>
      <x:c r="Q17" s="52" t="n">
        <x:v>4</x:v>
      </x:c>
      <x:c r="R17" s="52" t="str">
        <x:v>official plan count</x:v>
      </x:c>
      <x:c r="S17" s="52" t="str">
        <x:v>Hub count, not pedestrian volume</x:v>
      </x:c>
      <x:c r="T17" s="52" t="str">
        <x:v>temporary shuttle priority; cooling tents; staffed crossings</x:v>
      </x:c>
      <x:c r="U17" s="52" t="str">
        <x:v>permanent transit-priority junction; shade; protected pedestrian crossing</x:v>
      </x:c>
      <x:c r="V17" s="52" t="str">
        <x:v>planning_anchor ±25–100 m</x:v>
      </x:c>
      <x:c r="W17" s="52" t="str">
        <x:v>engineering_assumption with cited comparator</x:v>
      </x:c>
      <x:c r="X17" s="52" t="str">
        <x:v>https://www.hardrockstadium.com/parking/</x:v>
      </x:c>
    </x:row>
    <x:row r="18">
      <x:c r="A18" s="52" t="n">
        <x:v>14</x:v>
      </x:c>
      <x:c r="B18" s="52" t="str">
        <x:v>MIA-SG</x:v>
      </x:c>
      <x:c r="C18" s="52" t="str">
        <x:v>mia-south-gate</x:v>
      </x:c>
      <x:c r="D18" s="52" t="str">
        <x:v>miami</x:v>
      </x:c>
      <x:c r="E18" s="52" t="str">
        <x:v>Miami</x:v>
      </x:c>
      <x:c r="F18" s="52" t="str">
        <x:v>Hard Rock Stadium south-gate rideshare and shuttle zone</x:v>
      </x:c>
      <x:c r="G18" s="52" t="str">
        <x:v>curb_mobility_zone</x:v>
      </x:c>
      <x:c r="H18" s="53" t="n">
        <x:v>25.9549</x:v>
      </x:c>
      <x:c r="I18" s="53" t="n">
        <x:v>-80.2383</x:v>
      </x:c>
      <x:c r="J18" s="54" t="n">
        <x:v>350</x:v>
      </x:c>
      <x:c r="K18" s="54" t="n">
        <x:v>9027</x:v>
      </x:c>
      <x:c r="L18" s="55" t="n">
        <x:v>0.45</x:v>
      </x:c>
      <x:c r="M18" s="54" t="n">
        <x:f>ROUND(K18*L18,0)</x:f>
        <x:v>4062</x:v>
      </x:c>
      <x:c r="N18" s="52" t="str">
        <x:v>pedestrians/event</x:v>
      </x:c>
      <x:c r="O18" s="52" t="str">
        <x:v>capacity × modeled external-pedestrian share</x:v>
      </x:c>
      <x:c r="P18" s="52" t="str">
        <x:v>World Cup stadium capacity</x:v>
      </x:c>
      <x:c r="Q18" s="52" t="n">
        <x:v>64478</x:v>
      </x:c>
      <x:c r="R18" s="52" t="str">
        <x:v>official final capacity</x:v>
      </x:c>
      <x:c r="S18" s="52" t="str">
        <x:v>Capacity is not an observed area count</x:v>
      </x:c>
      <x:c r="T18" s="52" t="str">
        <x:v>geofenced rideshare; temporary accessible shuttle bay</x:v>
      </x:c>
      <x:c r="U18" s="52" t="str">
        <x:v>permanent off-street mobility hub; shaded accessible route</x:v>
      </x:c>
      <x:c r="V18" s="52" t="str">
        <x:v>planning_anchor ±25–100 m</x:v>
      </x:c>
      <x:c r="W18" s="52" t="str">
        <x:v>engineering_assumption with cited comparator</x:v>
      </x:c>
      <x:c r="X18" s="52" t="str">
        <x:v>https://www.hardrockstadium.com/parking/</x:v>
      </x:c>
    </x:row>
    <x:row r="19">
      <x:c r="A19" s="52" t="n">
        <x:v>15</x:v>
      </x:c>
      <x:c r="B19" s="52" t="str">
        <x:v>NYNJ-MRS</x:v>
      </x:c>
      <x:c r="C19" s="52" t="str">
        <x:v>nynj-meadowlands-station</x:v>
      </x:c>
      <x:c r="D19" s="52" t="str">
        <x:v>nynj</x:v>
      </x:c>
      <x:c r="E19" s="52" t="str">
        <x:v>New York/New Jersey</x:v>
      </x:c>
      <x:c r="F19" s="52" t="str">
        <x:v>Meadowlands Rail Station and aerial walkway</x:v>
      </x:c>
      <x:c r="G19" s="52" t="str">
        <x:v>event_rail_station</x:v>
      </x:c>
      <x:c r="H19" s="53" t="n">
        <x:v>40.807664</x:v>
      </x:c>
      <x:c r="I19" s="53" t="n">
        <x:v>-74.069833</x:v>
      </x:c>
      <x:c r="J19" s="54" t="n">
        <x:v>250</x:v>
      </x:c>
      <x:c r="K19" s="54" t="n">
        <x:v>65000</x:v>
      </x:c>
      <x:c r="L19" s="55" t="n">
        <x:v>0.55</x:v>
      </x:c>
      <x:c r="M19" s="54" t="n">
        <x:f>ROUND(K19*L19,0)</x:f>
        <x:v>35750</x:v>
      </x:c>
      <x:c r="N19" s="52" t="str">
        <x:v>pedestrians/event</x:v>
      </x:c>
      <x:c r="O19" s="52" t="str">
        <x:v>observed 2026 city total; area split modeled</x:v>
      </x:c>
      <x:c r="P19" s="52" t="str">
        <x:v>Pedestrians at the 2026 final</x:v>
      </x:c>
      <x:c r="Q19" s="52" t="n">
        <x:v>65000</x:v>
      </x:c>
      <x:c r="R19" s="52" t="str">
        <x:v>observed final</x:v>
      </x:c>
      <x:c r="S19" s="52" t="str">
        <x:v>Stadium-wide pedestrian total; area share is modeled</x:v>
      </x:c>
      <x:c r="T19" s="52" t="str">
        <x:v>temporary platform metering; queue barriers; ambassadors</x:v>
      </x:c>
      <x:c r="U19" s="52" t="str">
        <x:v>platform and gate capacity; wider walkway; accessible redundancy</x:v>
      </x:c>
      <x:c r="V19" s="52" t="str">
        <x:v>planning_anchor ±25–100 m</x:v>
      </x:c>
      <x:c r="W19" s="52" t="str">
        <x:v>engineering_assumption with cited comparator</x:v>
      </x:c>
      <x:c r="X19" s="52" t="str">
        <x:v>https://www.njtransit.com/meadowlands</x:v>
      </x:c>
    </x:row>
    <x:row r="20">
      <x:c r="A20" s="52" t="n">
        <x:v>16</x:v>
      </x:c>
      <x:c r="B20" s="52" t="str">
        <x:v>NYNJ-ADM</x:v>
      </x:c>
      <x:c r="C20" s="52" t="str">
        <x:v>nynj-american-dream-corridor</x:v>
      </x:c>
      <x:c r="D20" s="52" t="str">
        <x:v>nynj</x:v>
      </x:c>
      <x:c r="E20" s="52" t="str">
        <x:v>New York/New Jersey</x:v>
      </x:c>
      <x:c r="F20" s="52" t="str">
        <x:v>American Dream–MetLife protected corridor</x:v>
      </x:c>
      <x:c r="G20" s="52" t="str">
        <x:v>intercampus_walkway</x:v>
      </x:c>
      <x:c r="H20" s="53" t="n">
        <x:v>40.81145</x:v>
      </x:c>
      <x:c r="I20" s="53" t="n">
        <x:v>-74.07075</x:v>
      </x:c>
      <x:c r="J20" s="54" t="n">
        <x:v>350</x:v>
      </x:c>
      <x:c r="K20" s="54" t="n">
        <x:v>65000</x:v>
      </x:c>
      <x:c r="L20" s="55" t="n">
        <x:v>0.45</x:v>
      </x:c>
      <x:c r="M20" s="54" t="n">
        <x:f>ROUND(K20*L20,0)</x:f>
        <x:v>29250</x:v>
      </x:c>
      <x:c r="N20" s="52" t="str">
        <x:v>pedestrians/event</x:v>
      </x:c>
      <x:c r="O20" s="52" t="str">
        <x:v>observed 2026 city total; area split modeled</x:v>
      </x:c>
      <x:c r="P20" s="52" t="str">
        <x:v>Pedestrians at the 2026 final</x:v>
      </x:c>
      <x:c r="Q20" s="52" t="n">
        <x:v>65000</x:v>
      </x:c>
      <x:c r="R20" s="52" t="str">
        <x:v>observed final</x:v>
      </x:c>
      <x:c r="S20" s="52" t="str">
        <x:v>Stadium-wide pedestrian total; area share is modeled</x:v>
      </x:c>
      <x:c r="T20" s="52" t="str">
        <x:v>barricaded protected corridor; portable lighting</x:v>
      </x:c>
      <x:c r="U20" s="52" t="str">
        <x:v>widened permanent path; separation; lighting; drainage and shade</x:v>
      </x:c>
      <x:c r="V20" s="52" t="str">
        <x:v>planning_anchor ±25–100 m</x:v>
      </x:c>
      <x:c r="W20" s="52" t="str">
        <x:v>engineering_assumption with cited comparator</x:v>
      </x:c>
      <x:c r="X20" s="52" t="str">
        <x:v>https://www.njtransit.com/press-releases/new-jersey-interagency-transportation-after-action-report-aar-njny-stadium-fifa</x:v>
      </x:c>
    </x:row>
    <x:row r="21">
      <x:c r="A21" s="52" t="n">
        <x:v>17</x:v>
      </x:c>
      <x:c r="B21" s="52" t="str">
        <x:v>PHI-NRG</x:v>
      </x:c>
      <x:c r="C21" s="52" t="str">
        <x:v>phi-nrg-station</x:v>
      </x:c>
      <x:c r="D21" s="52" t="str">
        <x:v>philadelphia</x:v>
      </x:c>
      <x:c r="E21" s="52" t="str">
        <x:v>Philadelphia</x:v>
      </x:c>
      <x:c r="F21" s="52" t="str">
        <x:v>NRG Station and Broad Street queue zone</x:v>
      </x:c>
      <x:c r="G21" s="52" t="str">
        <x:v>metro_terminal</x:v>
      </x:c>
      <x:c r="H21" s="53" t="n">
        <x:v>39.9047</x:v>
      </x:c>
      <x:c r="I21" s="53" t="n">
        <x:v>-75.1736</x:v>
      </x:c>
      <x:c r="J21" s="54" t="n">
        <x:v>250</x:v>
      </x:c>
      <x:c r="K21" s="54" t="n">
        <x:v>30746</x:v>
      </x:c>
      <x:c r="L21" s="55" t="n">
        <x:v>0.6</x:v>
      </x:c>
      <x:c r="M21" s="54" t="n">
        <x:f>ROUND(K21*L21,0)</x:f>
        <x:v>18448</x:v>
      </x:c>
      <x:c r="N21" s="52" t="str">
        <x:v>pedestrians/event</x:v>
      </x:c>
      <x:c r="O21" s="52" t="str">
        <x:v>capacity × modeled external-pedestrian share</x:v>
      </x:c>
      <x:c r="P21" s="52" t="str">
        <x:v>Planned SEPTA riders per 2026 match</x:v>
      </x:c>
      <x:c r="Q21" s="52" t="n">
        <x:v>31000</x:v>
      </x:c>
      <x:c r="R21" s="52" t="str">
        <x:v>official plan; approximately</x:v>
      </x:c>
      <x:c r="S21" s="52" t="str">
        <x:v>Plan value, not post-event observation</x:v>
      </x:c>
      <x:c r="T21" s="52" t="str">
        <x:v>temporary queue channels; platform metering; ambassadors</x:v>
      </x:c>
      <x:c r="U21" s="52" t="str">
        <x:v>expanded gates; platform circulation; accessible passenger information</x:v>
      </x:c>
      <x:c r="V21" s="52" t="str">
        <x:v>planning_anchor ±25–100 m</x:v>
      </x:c>
      <x:c r="W21" s="52" t="str">
        <x:v>engineering_assumption with cited comparator</x:v>
      </x:c>
      <x:c r="X21" s="52" t="str">
        <x:v>https://wwww.septa.org/news/infrastructure-improvements-for-fifa/</x:v>
      </x:c>
    </x:row>
    <x:row r="22">
      <x:c r="A22" s="52" t="n">
        <x:v>18</x:v>
      </x:c>
      <x:c r="B22" s="52" t="str">
        <x:v>PHI-DE</x:v>
      </x:c>
      <x:c r="C22" s="52" t="str">
        <x:v>phi-lots-de</x:v>
      </x:c>
      <x:c r="D22" s="52" t="str">
        <x:v>philadelphia</x:v>
      </x:c>
      <x:c r="E22" s="52" t="str">
        <x:v>Philadelphia</x:v>
      </x:c>
      <x:c r="F22" s="52" t="str">
        <x:v>Lincoln Financial Field Lots D/E east approach</x:v>
      </x:c>
      <x:c r="G22" s="52" t="str">
        <x:v>stadium_parking_walkway</x:v>
      </x:c>
      <x:c r="H22" s="53" t="n">
        <x:v>39.90006</x:v>
      </x:c>
      <x:c r="I22" s="53" t="n">
        <x:v>-75.16965</x:v>
      </x:c>
      <x:c r="J22" s="54" t="n">
        <x:v>300</x:v>
      </x:c>
      <x:c r="K22" s="54" t="n">
        <x:v>30746</x:v>
      </x:c>
      <x:c r="L22" s="55" t="n">
        <x:v>0.4</x:v>
      </x:c>
      <x:c r="M22" s="54" t="n">
        <x:f>ROUND(K22*L22,0)</x:f>
        <x:v>12298</x:v>
      </x:c>
      <x:c r="N22" s="52" t="str">
        <x:v>pedestrians/event</x:v>
      </x:c>
      <x:c r="O22" s="52" t="str">
        <x:v>capacity × modeled external-pedestrian share</x:v>
      </x:c>
      <x:c r="P22" s="52" t="str">
        <x:v>Ed Sheeran 2023 attendance</x:v>
      </x:c>
      <x:c r="Q22" s="52" t="n">
        <x:v>77900</x:v>
      </x:c>
      <x:c r="R22" s="52" t="str">
        <x:v>venue spokesperson via local media</x:v>
      </x:c>
      <x:c r="S22" s="52" t="str">
        <x:v>Comparable concert at the same venue</x:v>
      </x:c>
      <x:c r="T22" s="52" t="str">
        <x:v>temporary parking walk aisles; crossing marshals</x:v>
      </x:c>
      <x:c r="U22" s="52" t="str">
        <x:v>permanent pedestrian spine; raised crossings; shade and lighting</x:v>
      </x:c>
      <x:c r="V22" s="52" t="str">
        <x:v>planning_anchor ±25–100 m</x:v>
      </x:c>
      <x:c r="W22" s="52" t="str">
        <x:v>engineering_assumption with cited comparator</x:v>
      </x:c>
      <x:c r="X22" s="52" t="str">
        <x:v>https://www.lincolnfinancialfield.com/lots-de/</x:v>
      </x:c>
    </x:row>
    <x:row r="23">
      <x:c r="A23" s="52" t="n">
        <x:v>19</x:v>
      </x:c>
      <x:c r="B23" s="52" t="str">
        <x:v>SF-GA</x:v>
      </x:c>
      <x:c r="C23" s="52" t="str">
        <x:v>sf-great-america-station</x:v>
      </x:c>
      <x:c r="D23" s="52" t="str">
        <x:v>sf-bay</x:v>
      </x:c>
      <x:c r="E23" s="52" t="str">
        <x:v>San Francisco Bay Area</x:v>
      </x:c>
      <x:c r="F23" s="52" t="str">
        <x:v>Great America VTA station platform queue</x:v>
      </x:c>
      <x:c r="G23" s="52" t="str">
        <x:v>light_rail_station</x:v>
      </x:c>
      <x:c r="H23" s="53" t="n">
        <x:v>37.403468</x:v>
      </x:c>
      <x:c r="I23" s="53" t="n">
        <x:v>-121.974908</x:v>
      </x:c>
      <x:c r="J23" s="54" t="n">
        <x:v>250</x:v>
      </x:c>
      <x:c r="K23" s="54" t="n">
        <x:v>26154</x:v>
      </x:c>
      <x:c r="L23" s="55" t="n">
        <x:v>0.65</x:v>
      </x:c>
      <x:c r="M23" s="54" t="n">
        <x:f>ROUND(K23*L23,0)</x:f>
        <x:v>17000</x:v>
      </x:c>
      <x:c r="N23" s="52" t="str">
        <x:v>pedestrians/event</x:v>
      </x:c>
      <x:c r="O23" s="52" t="str">
        <x:v>capacity × modeled external-pedestrian share</x:v>
      </x:c>
      <x:c r="P23" s="52" t="str">
        <x:v>Peak 2026 VTA stadium trips</x:v>
      </x:c>
      <x:c r="Q23" s="52" t="n">
        <x:v>42000</x:v>
      </x:c>
      <x:c r="R23" s="52" t="str">
        <x:v>reported: nearly</x:v>
      </x:c>
      <x:c r="S23" s="52" t="str">
        <x:v>Trips, not unique people or pedestrians</x:v>
      </x:c>
      <x:c r="T23" s="52" t="str">
        <x:v>temporary queue fencing; additional rail cars; platform staff</x:v>
      </x:c>
      <x:c r="U23" s="52" t="str">
        <x:v>platform access expansion; weather protection; fixed wayfinding</x:v>
      </x:c>
      <x:c r="V23" s="52" t="str">
        <x:v>planning_anchor ±25–100 m</x:v>
      </x:c>
      <x:c r="W23" s="52" t="str">
        <x:v>engineering_assumption with cited comparator</x:v>
      </x:c>
      <x:c r="X23" s="52" t="str">
        <x:v>https://www.vta.org/go/stations/great-america</x:v>
      </x:c>
    </x:row>
    <x:row r="24">
      <x:c r="A24" s="52" t="n">
        <x:v>20</x:v>
      </x:c>
      <x:c r="B24" s="52" t="str">
        <x:v>SF-TAS</x:v>
      </x:c>
      <x:c r="C24" s="52" t="str">
        <x:v>sf-tasman-debartolo</x:v>
      </x:c>
      <x:c r="D24" s="52" t="str">
        <x:v>sf-bay</x:v>
      </x:c>
      <x:c r="E24" s="52" t="str">
        <x:v>San Francisco Bay Area</x:v>
      </x:c>
      <x:c r="F24" s="52" t="str">
        <x:v>Tasman Drive and Marie P. DeBartolo Way east plaza</x:v>
      </x:c>
      <x:c r="G24" s="52" t="str">
        <x:v>stadium_plaza</x:v>
      </x:c>
      <x:c r="H24" s="53" t="n">
        <x:v>37.4035</x:v>
      </x:c>
      <x:c r="I24" s="53" t="n">
        <x:v>-121.9696</x:v>
      </x:c>
      <x:c r="J24" s="54" t="n">
        <x:v>300</x:v>
      </x:c>
      <x:c r="K24" s="54" t="n">
        <x:v>26154</x:v>
      </x:c>
      <x:c r="L24" s="55" t="n">
        <x:v>0.35</x:v>
      </x:c>
      <x:c r="M24" s="54" t="n">
        <x:f>ROUND(K24*L24,0)</x:f>
        <x:v>9154</x:v>
      </x:c>
      <x:c r="N24" s="52" t="str">
        <x:v>pedestrians/event</x:v>
      </x:c>
      <x:c r="O24" s="52" t="str">
        <x:v>capacity × modeled external-pedestrian share</x:v>
      </x:c>
      <x:c r="P24" s="52" t="str">
        <x:v>Taylor Swift 2023 VTA light-rail boardings</x:v>
      </x:c>
      <x:c r="Q24" s="52" t="n">
        <x:v>23400</x:v>
      </x:c>
      <x:c r="R24" s="52" t="str">
        <x:v>observed boardings</x:v>
      </x:c>
      <x:c r="S24" s="52" t="str">
        <x:v>System event boardings, not area pedestrians</x:v>
      </x:c>
      <x:c r="T24" s="52" t="str">
        <x:v>temporary road closure; pedestrian pens; crossing staff</x:v>
      </x:c>
      <x:c r="U24" s="52" t="str">
        <x:v>raised protected crossing; permanent promenade; shade</x:v>
      </x:c>
      <x:c r="V24" s="52" t="str">
        <x:v>planning_anchor ±25–100 m</x:v>
      </x:c>
      <x:c r="W24" s="52" t="str">
        <x:v>engineering_assumption with cited comparator</x:v>
      </x:c>
      <x:c r="X24" s="52" t="str">
        <x:v>https://www.vta.org/media/37311</x:v>
      </x:c>
    </x:row>
    <x:row r="25">
      <x:c r="A25" s="52" t="n">
        <x:v>21</x:v>
      </x:c>
      <x:c r="B25" s="52" t="str">
        <x:v>SEA-STA</x:v>
      </x:c>
      <x:c r="C25" s="52" t="str">
        <x:v>sea-stadium-station</x:v>
      </x:c>
      <x:c r="D25" s="52" t="str">
        <x:v>seattle</x:v>
      </x:c>
      <x:c r="E25" s="52" t="str">
        <x:v>Seattle</x:v>
      </x:c>
      <x:c r="F25" s="52" t="str">
        <x:v>Stadium Station and Royal Brougham Way approach</x:v>
      </x:c>
      <x:c r="G25" s="52" t="str">
        <x:v>light_rail_station</x:v>
      </x:c>
      <x:c r="H25" s="53" t="n">
        <x:v>47.5917</x:v>
      </x:c>
      <x:c r="I25" s="53" t="n">
        <x:v>-122.3272</x:v>
      </x:c>
      <x:c r="J25" s="54" t="n">
        <x:v>250</x:v>
      </x:c>
      <x:c r="K25" s="54" t="n">
        <x:v>36809</x:v>
      </x:c>
      <x:c r="L25" s="55" t="n">
        <x:v>0.55</x:v>
      </x:c>
      <x:c r="M25" s="54" t="n">
        <x:f>ROUND(K25*L25,0)</x:f>
        <x:v>20245</x:v>
      </x:c>
      <x:c r="N25" s="52" t="str">
        <x:v>pedestrians/event</x:v>
      </x:c>
      <x:c r="O25" s="52" t="str">
        <x:v>capacity × modeled external-pedestrian share</x:v>
      </x:c>
      <x:c r="P25" s="52" t="str">
        <x:v>Peak 2026 match-day Link boardings</x:v>
      </x:c>
      <x:c r="Q25" s="52" t="n">
        <x:v>309000</x:v>
      </x:c>
      <x:c r="R25" s="52" t="str">
        <x:v>preliminary systemwide</x:v>
      </x:c>
      <x:c r="S25" s="52" t="str">
        <x:v>Systemwide boardings, not area pedestrians</x:v>
      </x:c>
      <x:c r="T25" s="52" t="str">
        <x:v>platform metering; temporary queue rails; extra staff</x:v>
      </x:c>
      <x:c r="U25" s="52" t="str">
        <x:v>station access expansion; platform information; redundant accessible route</x:v>
      </x:c>
      <x:c r="V25" s="52" t="str">
        <x:v>planning_anchor ±25–100 m</x:v>
      </x:c>
      <x:c r="W25" s="52" t="str">
        <x:v>engineering_assumption with cited comparator</x:v>
      </x:c>
      <x:c r="X25" s="52" t="str">
        <x:v>https://www.soundtransit.org/ride-with-us/popular-destinations/lumen-field</x:v>
      </x:c>
    </x:row>
    <x:row r="26">
      <x:c r="A26" s="52" t="n">
        <x:v>22</x:v>
      </x:c>
      <x:c r="B26" s="52" t="str">
        <x:v>SEA-OCC</x:v>
      </x:c>
      <x:c r="C26" s="52" t="str">
        <x:v>sea-occidental-south</x:v>
      </x:c>
      <x:c r="D26" s="52" t="str">
        <x:v>seattle</x:v>
      </x:c>
      <x:c r="E26" s="52" t="str">
        <x:v>Seattle</x:v>
      </x:c>
      <x:c r="F26" s="52" t="str">
        <x:v>Occidental Avenue South plaza approach</x:v>
      </x:c>
      <x:c r="G26" s="52" t="str">
        <x:v>stadium_plaza</x:v>
      </x:c>
      <x:c r="H26" s="53" t="n">
        <x:v>47.5925</x:v>
      </x:c>
      <x:c r="I26" s="53" t="n">
        <x:v>-122.3328</x:v>
      </x:c>
      <x:c r="J26" s="54" t="n">
        <x:v>300</x:v>
      </x:c>
      <x:c r="K26" s="54" t="n">
        <x:v>36809</x:v>
      </x:c>
      <x:c r="L26" s="55" t="n">
        <x:v>0.45</x:v>
      </x:c>
      <x:c r="M26" s="54" t="n">
        <x:f>ROUND(K26*L26,0)</x:f>
        <x:v>16564</x:v>
      </x:c>
      <x:c r="N26" s="52" t="str">
        <x:v>pedestrians/event</x:v>
      </x:c>
      <x:c r="O26" s="52" t="str">
        <x:v>capacity × modeled external-pedestrian share</x:v>
      </x:c>
      <x:c r="P26" s="52" t="str">
        <x:v>Taylor Swift 2023 first-night attendance</x:v>
      </x:c>
      <x:c r="Q26" s="52" t="n">
        <x:v>72171</x:v>
      </x:c>
      <x:c r="R26" s="52" t="str">
        <x:v>reported record</x:v>
      </x:c>
      <x:c r="S26" s="52" t="str">
        <x:v>Venue attendance, not corridor count</x:v>
      </x:c>
      <x:c r="T26" s="52" t="str">
        <x:v>temporary pedestrianized street; crowd gates; bike valet</x:v>
      </x:c>
      <x:c r="U26" s="52" t="str">
        <x:v>permanent festival street; removable bollards; shade and lighting</x:v>
      </x:c>
      <x:c r="V26" s="52" t="str">
        <x:v>planning_anchor ±25–100 m</x:v>
      </x:c>
      <x:c r="W26" s="52" t="str">
        <x:v>engineering_assumption with cited comparator</x:v>
      </x:c>
      <x:c r="X26" s="52" t="str">
        <x:v>https://www.lumenfield.com/multi-day-events/taylor-swift-2023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18c63c1cbfc648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42" hidden="0" customWidth="1"/>
    <x:col min="5" max="5" width="17" hidden="0" customWidth="1"/>
    <x:col min="6" max="6" width="18" hidden="0" customWidth="1"/>
    <x:col min="7" max="7" width="31" hidden="0" customWidth="1"/>
    <x:col min="8" max="8" width="22" hidden="0" customWidth="1"/>
    <x:col min="9" max="9" width="72" hidden="0" customWidth="1"/>
  </x:cols>
  <x:sheetData>
    <x:row r="1" ht="30" customHeight="1">
      <x:c r="A1" s="43" t="str">
        <x:v>Hyper-Specific 2026 World Cup Evidence</x:v>
      </x:c>
    </x:row>
    <x:row r="2" ht="40" customHeight="1">
      <x:c r="A2" s="46" t="str">
        <x:v>Post-event observations are retained with qualifiers. Systemwide boardings, passenger trips and stadium pedestrians are different measures and must not be combined without a conversion model.</x:v>
      </x:c>
    </x:row>
    <x:row r="4">
      <x:c r="A4" s="49" t="str">
        <x:v>evidence_id</x:v>
      </x:c>
      <x:c r="B4" s="49" t="str">
        <x:v>host_region</x:v>
      </x:c>
      <x:c r="C4" s="49" t="str">
        <x:v>date_or_scope</x:v>
      </x:c>
      <x:c r="D4" s="49" t="str">
        <x:v>metric</x:v>
      </x:c>
      <x:c r="E4" s="49" t="str">
        <x:v>value</x:v>
      </x:c>
      <x:c r="F4" s="49" t="str">
        <x:v>unit</x:v>
      </x:c>
      <x:c r="G4" s="49" t="str">
        <x:v>qualifier</x:v>
      </x:c>
      <x:c r="H4" s="49" t="str">
        <x:v>evidence_class</x:v>
      </x:c>
      <x:c r="I4" s="49" t="str">
        <x:v>source_url</x:v>
      </x:c>
    </x:row>
    <x:row r="5">
      <x:c r="A5" s="52" t="str">
        <x:v>WC26-MATCHES</x:v>
      </x:c>
      <x:c r="B5" s="52" t="str">
        <x:v>Tournament</x:v>
      </x:c>
      <x:c r="C5" s="52" t="str">
        <x:v>Tournament</x:v>
      </x:c>
      <x:c r="D5" s="52" t="str">
        <x:v>Matches staged</x:v>
      </x:c>
      <x:c r="E5" s="56" t="n">
        <x:v>104</x:v>
      </x:c>
      <x:c r="F5" s="52" t="str">
        <x:v>matches</x:v>
      </x:c>
      <x:c r="G5" s="52" t="str">
        <x:v>exact</x:v>
      </x:c>
      <x:c r="H5" s="52" t="str">
        <x:v>observed_final</x:v>
      </x:c>
      <x:c r="I5" s="52" t="str">
        <x:v>https://inside.fifa.com/tournament-organisation/fifa-world-cup-2026-by-the-numbers</x:v>
      </x:c>
    </x:row>
    <x:row r="6">
      <x:c r="A6" s="52" t="str">
        <x:v>WC26-ATT</x:v>
      </x:c>
      <x:c r="B6" s="52" t="str">
        <x:v>Tournament</x:v>
      </x:c>
      <x:c r="C6" s="52" t="str">
        <x:v>Tournament</x:v>
      </x:c>
      <x:c r="D6" s="52" t="str">
        <x:v>Match attendees</x:v>
      </x:c>
      <x:c r="E6" s="56" t="n">
        <x:v>6800000</x:v>
      </x:c>
      <x:c r="F6" s="52" t="str">
        <x:v>attendees</x:v>
      </x:c>
      <x:c r="G6" s="52" t="str">
        <x:v>more than</x:v>
      </x:c>
      <x:c r="H6" s="52" t="str">
        <x:v>observed_final</x:v>
      </x:c>
      <x:c r="I6" s="52" t="str">
        <x:v>https://inside.fifa.com/tournament-organisation/fifa-world-cup-2026-by-the-numbers</x:v>
      </x:c>
    </x:row>
    <x:row r="7">
      <x:c r="A7" s="52" t="str">
        <x:v>WC26-FAN</x:v>
      </x:c>
      <x:c r="B7" s="52" t="str">
        <x:v>Tournament</x:v>
      </x:c>
      <x:c r="C7" s="52" t="str">
        <x:v>Fan festivals</x:v>
      </x:c>
      <x:c r="D7" s="52" t="str">
        <x:v>Fan-festival visits</x:v>
      </x:c>
      <x:c r="E7" s="56" t="n">
        <x:v>9017000</x:v>
      </x:c>
      <x:c r="F7" s="52" t="str">
        <x:v>visits</x:v>
      </x:c>
      <x:c r="G7" s="52" t="str">
        <x:v>reported total</x:v>
      </x:c>
      <x:c r="H7" s="52" t="str">
        <x:v>observed_final</x:v>
      </x:c>
      <x:c r="I7" s="52" t="str">
        <x:v>https://inside.fifa.com/organisation/media-releases/fan-festival-extends-historic-world-cup-2026-experience-millions-record-breaking-celebrations-host-countries</x:v>
      </x:c>
    </x:row>
    <x:row r="8">
      <x:c r="A8" s="52" t="str">
        <x:v>ATL-RAIL</x:v>
      </x:c>
      <x:c r="B8" s="52" t="str">
        <x:v>Atlanta</x:v>
      </x:c>
      <x:c r="C8" s="52" t="str">
        <x:v>35-day event period</x:v>
      </x:c>
      <x:c r="D8" s="52" t="str">
        <x:v>Rail passenger trips</x:v>
      </x:c>
      <x:c r="E8" s="56" t="n">
        <x:v>4700000</x:v>
      </x:c>
      <x:c r="F8" s="52" t="str">
        <x:v>trips</x:v>
      </x:c>
      <x:c r="G8" s="52" t="str">
        <x:v>reported total; includes associated events</x:v>
      </x:c>
      <x:c r="H8" s="52" t="str">
        <x:v>observed_final</x:v>
      </x:c>
      <x:c r="I8" s="52" t="str">
        <x:v>https://itsmarta.com/marta-safely-moves-millions.aspx</x:v>
      </x:c>
    </x:row>
    <x:row r="9">
      <x:c r="A9" s="52" t="str">
        <x:v>ATL-PEAK</x:v>
      </x:c>
      <x:c r="B9" s="52" t="str">
        <x:v>Atlanta</x:v>
      </x:c>
      <x:c r="C9" s="52" t="str">
        <x:v>2026-06-24</x:v>
      </x:c>
      <x:c r="D9" s="52" t="str">
        <x:v>Rail passenger trips</x:v>
      </x:c>
      <x:c r="E9" s="56" t="n">
        <x:v>240000</x:v>
      </x:c>
      <x:c r="F9" s="52" t="str">
        <x:v>trips</x:v>
      </x:c>
      <x:c r="G9" s="52" t="str">
        <x:v>approximately</x:v>
      </x:c>
      <x:c r="H9" s="52" t="str">
        <x:v>observed_final</x:v>
      </x:c>
      <x:c r="I9" s="52" t="str">
        <x:v>https://itsmarta.com/marta-safely-moves-millions.aspx</x:v>
      </x:c>
    </x:row>
    <x:row r="10">
      <x:c r="A10" s="52" t="str">
        <x:v>ATL-VC</x:v>
      </x:c>
      <x:c r="B10" s="52" t="str">
        <x:v>Atlanta</x:v>
      </x:c>
      <x:c r="C10" s="52" t="str">
        <x:v>Match days</x:v>
      </x:c>
      <x:c r="D10" s="52" t="str">
        <x:v>Vine City share of rail demand</x:v>
      </x:c>
      <x:c r="E10" s="55" t="n">
        <x:v>0.14</x:v>
      </x:c>
      <x:c r="F10" s="52" t="str">
        <x:v>share</x:v>
      </x:c>
      <x:c r="G10" s="52" t="str">
        <x:v>reported</x:v>
      </x:c>
      <x:c r="H10" s="52" t="str">
        <x:v>observed_final</x:v>
      </x:c>
      <x:c r="I10" s="52" t="str">
        <x:v>https://itsmarta.com/marta-safely-moves-millions.aspx</x:v>
      </x:c>
    </x:row>
    <x:row r="11">
      <x:c r="A11" s="52" t="str">
        <x:v>ATL-SEC</x:v>
      </x:c>
      <x:c r="B11" s="52" t="str">
        <x:v>Atlanta</x:v>
      </x:c>
      <x:c r="C11" s="52" t="str">
        <x:v>Match days</x:v>
      </x:c>
      <x:c r="D11" s="52" t="str">
        <x:v>SEC District share of rail demand</x:v>
      </x:c>
      <x:c r="E11" s="55" t="n">
        <x:v>0.38</x:v>
      </x:c>
      <x:c r="F11" s="52" t="str">
        <x:v>share</x:v>
      </x:c>
      <x:c r="G11" s="52" t="str">
        <x:v>reported</x:v>
      </x:c>
      <x:c r="H11" s="52" t="str">
        <x:v>observed_final</x:v>
      </x:c>
      <x:c r="I11" s="52" t="str">
        <x:v>https://itsmarta.com/marta-safely-moves-millions.aspx</x:v>
      </x:c>
    </x:row>
    <x:row r="12">
      <x:c r="A12" s="52" t="str">
        <x:v>BOS-TRAINS</x:v>
      </x:c>
      <x:c r="B12" s="52" t="str">
        <x:v>Boston</x:v>
      </x:c>
      <x:c r="C12" s="52" t="str">
        <x:v>Seven matches</x:v>
      </x:c>
      <x:c r="D12" s="52" t="str">
        <x:v>Event-train round trips</x:v>
      </x:c>
      <x:c r="E12" s="56" t="n">
        <x:v>98</x:v>
      </x:c>
      <x:c r="F12" s="52" t="str">
        <x:v>round trips</x:v>
      </x:c>
      <x:c r="G12" s="52" t="str">
        <x:v>reported</x:v>
      </x:c>
      <x:c r="H12" s="52" t="str">
        <x:v>observed_final</x:v>
      </x:c>
      <x:c r="I12" s="52" t="str">
        <x:v>https://www.mass.gov/news/governor-healey-celebrates-successful-world-cup-operations-across-massachusetts</x:v>
      </x:c>
    </x:row>
    <x:row r="13">
      <x:c r="A13" s="52" t="str">
        <x:v>BOS-TIX</x:v>
      </x:c>
      <x:c r="B13" s="52" t="str">
        <x:v>Boston</x:v>
      </x:c>
      <x:c r="C13" s="52" t="str">
        <x:v>Seven matches</x:v>
      </x:c>
      <x:c r="D13" s="52" t="str">
        <x:v>Round-trip tickets sold</x:v>
      </x:c>
      <x:c r="E13" s="56" t="n">
        <x:v>108940</x:v>
      </x:c>
      <x:c r="F13" s="52" t="str">
        <x:v>tickets</x:v>
      </x:c>
      <x:c r="G13" s="52" t="str">
        <x:v>reported</x:v>
      </x:c>
      <x:c r="H13" s="52" t="str">
        <x:v>observed_final</x:v>
      </x:c>
      <x:c r="I13" s="52" t="str">
        <x:v>https://www.mass.gov/news/governor-healey-celebrates-successful-world-cup-operations-across-massachusetts</x:v>
      </x:c>
    </x:row>
    <x:row r="14">
      <x:c r="A14" s="52" t="str">
        <x:v>BOS-STAFF</x:v>
      </x:c>
      <x:c r="B14" s="52" t="str">
        <x:v>Boston</x:v>
      </x:c>
      <x:c r="C14" s="52" t="str">
        <x:v>Per match day</x:v>
      </x:c>
      <x:c r="D14" s="52" t="str">
        <x:v>Employees deployed</x:v>
      </x:c>
      <x:c r="E14" s="56" t="n">
        <x:v>700</x:v>
      </x:c>
      <x:c r="F14" s="52" t="str">
        <x:v>employees</x:v>
      </x:c>
      <x:c r="G14" s="52" t="str">
        <x:v>approximately</x:v>
      </x:c>
      <x:c r="H14" s="52" t="str">
        <x:v>observed_final</x:v>
      </x:c>
      <x:c r="I14" s="52" t="str">
        <x:v>https://www.mass.gov/news/governor-healey-celebrates-successful-world-cup-operations-across-massachusetts</x:v>
      </x:c>
    </x:row>
    <x:row r="15">
      <x:c r="A15" s="52" t="str">
        <x:v>LA-RIDES</x:v>
      </x:c>
      <x:c r="B15" s="52" t="str">
        <x:v>Los Angeles</x:v>
      </x:c>
      <x:c r="C15" s="52" t="str">
        <x:v>Tournament</x:v>
      </x:c>
      <x:c r="D15" s="52" t="str">
        <x:v>Rides directly to/from stadium</x:v>
      </x:c>
      <x:c r="E15" s="56" t="n">
        <x:v>212865</x:v>
      </x:c>
      <x:c r="F15" s="52" t="str">
        <x:v>rides</x:v>
      </x:c>
      <x:c r="G15" s="52" t="str">
        <x:v>reported</x:v>
      </x:c>
      <x:c r="H15" s="52" t="str">
        <x:v>observed_final</x:v>
      </x:c>
      <x:c r="I15" s="52" t="str">
        <x:v>https://thesource.metro.net/metro-state-of-agency-celebrates-a-year-of-milestones-and-looking-ahead-to-another-transformative-year/</x:v>
      </x:c>
    </x:row>
    <x:row r="16">
      <x:c r="A16" s="52" t="str">
        <x:v>SF-TOTAL</x:v>
      </x:c>
      <x:c r="B16" s="52" t="str">
        <x:v>San Francisco Bay Area</x:v>
      </x:c>
      <x:c r="C16" s="52" t="str">
        <x:v>Six matches</x:v>
      </x:c>
      <x:c r="D16" s="52" t="str">
        <x:v>VTA stadium trips</x:v>
      </x:c>
      <x:c r="E16" s="56" t="n">
        <x:v>230000</x:v>
      </x:c>
      <x:c r="F16" s="52" t="str">
        <x:v>trips</x:v>
      </x:c>
      <x:c r="G16" s="52" t="str">
        <x:v>close to</x:v>
      </x:c>
      <x:c r="H16" s="52" t="str">
        <x:v>observed_final</x:v>
      </x:c>
      <x:c r="I16" s="52" t="str">
        <x:v>https://www.vta.org/sites/default/files/2026-07/Board%20Correspondence%2007_17_26.pdf</x:v>
      </x:c>
    </x:row>
    <x:row r="17">
      <x:c r="A17" s="52" t="str">
        <x:v>SF-PEAK</x:v>
      </x:c>
      <x:c r="B17" s="52" t="str">
        <x:v>San Francisco Bay Area</x:v>
      </x:c>
      <x:c r="C17" s="52" t="str">
        <x:v>2026-06-25</x:v>
      </x:c>
      <x:c r="D17" s="52" t="str">
        <x:v>VTA stadium trips</x:v>
      </x:c>
      <x:c r="E17" s="56" t="n">
        <x:v>42000</x:v>
      </x:c>
      <x:c r="F17" s="52" t="str">
        <x:v>trips</x:v>
      </x:c>
      <x:c r="G17" s="52" t="str">
        <x:v>nearly</x:v>
      </x:c>
      <x:c r="H17" s="52" t="str">
        <x:v>observed_final</x:v>
      </x:c>
      <x:c r="I17" s="52" t="str">
        <x:v>https://www.vta.org/sites/default/files/2026-07/Board%20Correspondence%2007_17_26.pdf</x:v>
      </x:c>
    </x:row>
    <x:row r="18">
      <x:c r="A18" s="52" t="str">
        <x:v>SEA-PEAK</x:v>
      </x:c>
      <x:c r="B18" s="52" t="str">
        <x:v>Seattle</x:v>
      </x:c>
      <x:c r="C18" s="52" t="str">
        <x:v>United States vs Belgium</x:v>
      </x:c>
      <x:c r="D18" s="52" t="str">
        <x:v>Match-day Link boardings</x:v>
      </x:c>
      <x:c r="E18" s="56" t="n">
        <x:v>309000</x:v>
      </x:c>
      <x:c r="F18" s="52" t="str">
        <x:v>boardings</x:v>
      </x:c>
      <x:c r="G18" s="52" t="str">
        <x:v>preliminary</x:v>
      </x:c>
      <x:c r="H18" s="52" t="str">
        <x:v>observed_preliminary</x:v>
      </x:c>
      <x:c r="I18" s="52" t="str">
        <x:v>https://www.soundtransit.org/get-to-know-us/news-events/news-releases/sound-transit-set-all-time-records-daily-monthly-ridership</x:v>
      </x:c>
    </x:row>
    <x:row r="19">
      <x:c r="A19" s="52" t="str">
        <x:v>NYNJ-TRANSIT</x:v>
      </x:c>
      <x:c r="B19" s="52" t="str">
        <x:v>New York/New Jersey</x:v>
      </x:c>
      <x:c r="C19" s="52" t="str">
        <x:v>Eight matches</x:v>
      </x:c>
      <x:c r="D19" s="52" t="str">
        <x:v>Event-related NJ Transit passengers</x:v>
      </x:c>
      <x:c r="E19" s="56" t="n">
        <x:v>370000</x:v>
      </x:c>
      <x:c r="F19" s="52" t="str">
        <x:v>passengers</x:v>
      </x:c>
      <x:c r="G19" s="52" t="str">
        <x:v>more than</x:v>
      </x:c>
      <x:c r="H19" s="52" t="str">
        <x:v>observed_final</x:v>
      </x:c>
      <x:c r="I19" s="52" t="str">
        <x:v>https://www.njtransit.com/press-releases/new-jersey-interagency-transportation-after-action-report-aar-njny-stadium-fifa</x:v>
      </x:c>
    </x:row>
    <x:row r="20">
      <x:c r="A20" s="52" t="str">
        <x:v>NYNJ-THR</x:v>
      </x:c>
      <x:c r="B20" s="52" t="str">
        <x:v>New York/New Jersey</x:v>
      </x:c>
      <x:c r="C20" s="52" t="str">
        <x:v>Tournament</x:v>
      </x:c>
      <x:c r="D20" s="52" t="str">
        <x:v>Average movement rate</x:v>
      </x:c>
      <x:c r="E20" s="56" t="n">
        <x:v>24000</x:v>
      </x:c>
      <x:c r="F20" s="52" t="str">
        <x:v>people/hour</x:v>
      </x:c>
      <x:c r="G20" s="52" t="str">
        <x:v>reported average</x:v>
      </x:c>
      <x:c r="H20" s="52" t="str">
        <x:v>observed_final</x:v>
      </x:c>
      <x:c r="I20" s="52" t="str">
        <x:v>https://www.njtransit.com/press-releases/new-jersey-interagency-transportation-after-action-report-aar-njny-stadium-fifa</x:v>
      </x:c>
    </x:row>
    <x:row r="21">
      <x:c r="A21" s="52" t="str">
        <x:v>NYNJ-PED</x:v>
      </x:c>
      <x:c r="B21" s="52" t="str">
        <x:v>New York/New Jersey</x:v>
      </x:c>
      <x:c r="C21" s="52" t="str">
        <x:v>Final</x:v>
      </x:c>
      <x:c r="D21" s="52" t="str">
        <x:v>Pedestrian volume</x:v>
      </x:c>
      <x:c r="E21" s="56" t="n">
        <x:v>65000</x:v>
      </x:c>
      <x:c r="F21" s="52" t="str">
        <x:v>pedestrians</x:v>
      </x:c>
      <x:c r="G21" s="52" t="str">
        <x:v>observed</x:v>
      </x:c>
      <x:c r="H21" s="52" t="str">
        <x:v>observed_final</x:v>
      </x:c>
      <x:c r="I21" s="52" t="str">
        <x:v>https://www.njtransit.com/press-releases/new-jersey-interagency-transportation-after-action-report-aar-njny-stadium-fifa</x:v>
      </x:c>
    </x:row>
    <x:row r="22">
      <x:c r="A22" s="52" t="str">
        <x:v>NYNJ-OVER</x:v>
      </x:c>
      <x:c r="B22" s="52" t="str">
        <x:v>New York/New Jersey</x:v>
      </x:c>
      <x:c r="C22" s="52" t="str">
        <x:v>Tournament</x:v>
      </x:c>
      <x:c r="D22" s="52" t="str">
        <x:v>Pedestrian volume above projection</x:v>
      </x:c>
      <x:c r="E22" s="55" t="n">
        <x:v>0.8</x:v>
      </x:c>
      <x:c r="F22" s="52" t="str">
        <x:v>share</x:v>
      </x:c>
      <x:c r="G22" s="52" t="str">
        <x:v>more than</x:v>
      </x:c>
      <x:c r="H22" s="52" t="str">
        <x:v>observed_final</x:v>
      </x:c>
      <x:c r="I22" s="52" t="str">
        <x:v>https://www.njtransit.com/press-releases/new-jersey-interagency-transportation-after-action-report-aar-njny-stadium-fifa</x:v>
      </x:c>
    </x:row>
    <x:row r="23">
      <x:c r="A23" s="52" t="str">
        <x:v>NYNJ-TNC</x:v>
      </x:c>
      <x:c r="B23" s="52" t="str">
        <x:v>New York/New Jersey</x:v>
      </x:c>
      <x:c r="C23" s="52" t="str">
        <x:v>Tournament egress</x:v>
      </x:c>
      <x:c r="D23" s="52" t="str">
        <x:v>Rideshare demand above projection</x:v>
      </x:c>
      <x:c r="E23" s="55" t="n">
        <x:v>0.5</x:v>
      </x:c>
      <x:c r="F23" s="52" t="str">
        <x:v>share</x:v>
      </x:c>
      <x:c r="G23" s="52" t="str">
        <x:v>approximately</x:v>
      </x:c>
      <x:c r="H23" s="52" t="str">
        <x:v>observed_final</x:v>
      </x:c>
      <x:c r="I23" s="52" t="str">
        <x:v>https://www.njtransit.com/press-releases/new-jersey-interagency-transportation-after-action-report-aar-njny-stadium-fifa</x:v>
      </x:c>
    </x:row>
    <x:row r="24">
      <x:c r="A24" s="52" t="str">
        <x:v>PHI-PLAN</x:v>
      </x:c>
      <x:c r="B24" s="52" t="str">
        <x:v>Philadelphia</x:v>
      </x:c>
      <x:c r="C24" s="52" t="str">
        <x:v>Per match</x:v>
      </x:c>
      <x:c r="D24" s="52" t="str">
        <x:v>Planned SEPTA riders</x:v>
      </x:c>
      <x:c r="E24" s="56" t="n">
        <x:v>31000</x:v>
      </x:c>
      <x:c r="F24" s="52" t="str">
        <x:v>riders</x:v>
      </x:c>
      <x:c r="G24" s="52" t="str">
        <x:v>approximately; plan</x:v>
      </x:c>
      <x:c r="H24" s="52" t="str">
        <x:v>official_plan</x:v>
      </x:c>
      <x:c r="I24" s="52" t="str">
        <x:v>https://wwww.septa.org/news/infrastructure-improvements-for-fifa/</x:v>
      </x:c>
    </x:row>
    <x:row r="25">
      <x:c r="A25" s="52" t="str">
        <x:v>MIA-HUBS</x:v>
      </x:c>
      <x:c r="B25" s="52" t="str">
        <x:v>Miami</x:v>
      </x:c>
      <x:c r="C25" s="52" t="str">
        <x:v>Match days</x:v>
      </x:c>
      <x:c r="D25" s="52" t="str">
        <x:v>Official shuttle hubs</x:v>
      </x:c>
      <x:c r="E25" s="56" t="n">
        <x:v>4</x:v>
      </x:c>
      <x:c r="F25" s="52" t="str">
        <x:v>hubs</x:v>
      </x:c>
      <x:c r="G25" s="52" t="str">
        <x:v>confirmed plan</x:v>
      </x:c>
      <x:c r="H25" s="52" t="str">
        <x:v>official_plan</x:v>
      </x:c>
      <x:c r="I25" s="52" t="str">
        <x:v>https://www.miamidade.gov/global/release.page?Mduid_release=rel178040771715787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41a06c9bbd746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5" hidden="0" customWidth="1"/>
    <x:col min="4" max="4" width="16" hidden="0" customWidth="1"/>
    <x:col min="5" max="5" width="32" hidden="0" customWidth="1"/>
    <x:col min="6" max="6" width="25" hidden="0" customWidth="1"/>
    <x:col min="7" max="7" width="16" hidden="0" customWidth="1"/>
    <x:col min="8" max="8" width="24" hidden="0" customWidth="1"/>
    <x:col min="9" max="9" width="23" hidden="0" customWidth="1"/>
    <x:col min="10" max="10" width="18" hidden="0" customWidth="1"/>
    <x:col min="11" max="11" width="30" hidden="0" customWidth="1"/>
    <x:col min="12" max="12" width="24" hidden="0" customWidth="1"/>
    <x:col min="13" max="13" width="24" hidden="0" customWidth="1"/>
    <x:col min="14" max="14" width="22" hidden="0" customWidth="1"/>
    <x:col min="15" max="15" width="48" hidden="0" customWidth="1"/>
    <x:col min="16" max="16" width="48" hidden="0" customWidth="1"/>
    <x:col min="17" max="17" width="20" hidden="0" customWidth="1"/>
    <x:col min="18" max="18" width="25" hidden="0" customWidth="1"/>
    <x:col min="19" max="19" width="20" hidden="0" customWidth="1"/>
    <x:col min="20" max="20" width="68" hidden="0" customWidth="1"/>
  </x:cols>
  <x:sheetData>
    <x:row r="1" ht="30" customHeight="1">
      <x:c r="A1" s="43" t="str">
        <x:v>Official Host Funding + Modeled Category Allocation</x:v>
      </x:c>
    </x:row>
    <x:row r="2" ht="40" customHeight="1">
      <x:c r="A2" s="46" t="str">
        <x:v>official_host_budget_usd is the FTA host-region total. Category rows are demonstration optimizer allocations; reserve is the unassigned residual. Temporary/permanent shares are engineering assumptions, not published grant line items.</x:v>
      </x:c>
    </x:row>
    <x:row r="4">
      <x:c r="A4" s="49" t="str">
        <x:v>host_region_code</x:v>
      </x:c>
      <x:c r="B4" s="49" t="str">
        <x:v>city_id</x:v>
      </x:c>
      <x:c r="C4" s="49" t="str">
        <x:v>host_region</x:v>
      </x:c>
      <x:c r="D4" s="49" t="str">
        <x:v>category</x:v>
      </x:c>
      <x:c r="E4" s="49" t="str">
        <x:v>category_name</x:v>
      </x:c>
      <x:c r="F4" s="49" t="str">
        <x:v>official_host_budget_usd</x:v>
      </x:c>
      <x:c r="G4" s="49" t="str">
        <x:v>selected_units</x:v>
      </x:c>
      <x:c r="H4" s="49" t="str">
        <x:v>decision_unit</x:v>
      </x:c>
      <x:c r="I4" s="49" t="str">
        <x:v>typical_unit_cost_usd</x:v>
      </x:c>
      <x:c r="J4" s="49" t="str">
        <x:v>temporary_share</x:v>
      </x:c>
      <x:c r="K4" s="49" t="str">
        <x:v>modeled_category_allocation_usd</x:v>
      </x:c>
      <x:c r="L4" s="49" t="str">
        <x:v>temporary_allocation_usd</x:v>
      </x:c>
      <x:c r="M4" s="49" t="str">
        <x:v>permanent_allocation_usd</x:v>
      </x:c>
      <x:c r="N4" s="49" t="str">
        <x:v>share_of_host_budget</x:v>
      </x:c>
      <x:c r="O4" s="49" t="str">
        <x:v>temporary_fix</x:v>
      </x:c>
      <x:c r="P4" s="49" t="str">
        <x:v>permanent_fix</x:v>
      </x:c>
      <x:c r="Q4" s="49" t="str">
        <x:v>useful_life_years</x:v>
      </x:c>
      <x:c r="R4" s="49" t="str">
        <x:v>evidence_class</x:v>
      </x:c>
      <x:c r="S4" s="49" t="str">
        <x:v>funding_source_id</x:v>
      </x:c>
      <x:c r="T4" s="49" t="str">
        <x:v>source_url</x:v>
      </x:c>
    </x:row>
    <x:row r="5">
      <x:c r="A5" s="52" t="n">
        <x:v>1</x:v>
      </x:c>
      <x:c r="B5" s="52" t="str">
        <x:v>atlanta</x:v>
      </x:c>
      <x:c r="C5" s="52" t="str">
        <x:v>Atlanta</x:v>
      </x:c>
      <x:c r="D5" s="52" t="str">
        <x:v>service</x:v>
      </x:c>
      <x:c r="E5" s="52" t="str">
        <x:v>Extra transit service</x:v>
      </x:c>
      <x:c r="F5" s="58" t="n">
        <x:v>9391018</x:v>
      </x:c>
      <x:c r="G5" s="52" t="n">
        <x:v>4</x:v>
      </x:c>
      <x:c r="H5" s="52" t="str">
        <x:v>2,500 vehicle-hours</x:v>
      </x:c>
      <x:c r="I5" s="58" t="n">
        <x:v>550000</x:v>
      </x:c>
      <x:c r="J5" s="55" t="n">
        <x:v>0.8</x:v>
      </x:c>
      <x:c r="K5" s="58" t="n">
        <x:f>G5*I5</x:f>
        <x:v>2200000</x:v>
      </x:c>
      <x:c r="L5" s="58" t="n">
        <x:f>K5*J5</x:f>
        <x:v>1760000</x:v>
      </x:c>
      <x:c r="M5" s="58" t="n">
        <x:f>K5-L5</x:f>
        <x:v>440000</x:v>
      </x:c>
      <x:c r="N5" s="61" t="n">
        <x:f>K5/F5</x:f>
        <x:v>0.23426640221539347</x:v>
      </x:c>
      <x:c r="O5" s="52" t="str">
        <x:v>extra rail/bus vehicle-hours; standby operators; event timetable</x:v>
      </x:c>
      <x:c r="P5" s="52" t="str">
        <x:v>recurring major-event service plan; fleet and stabling readiness</x:v>
      </x:c>
      <x:c r="Q5" s="52" t="n">
        <x:v>1</x:v>
      </x:c>
      <x:c r="R5" s="52" t="str">
        <x:v>engineering_assumption</x:v>
      </x:c>
      <x:c r="S5" s="52" t="str">
        <x:v>fta-wc26</x:v>
      </x:c>
      <x:c r="T5" s="52" t="str">
        <x:v>https://www.transit.dot.gov/funding/apportionments/fta-world-cup-funding-apportionment-table</x:v>
      </x:c>
    </x:row>
    <x:row r="6">
      <x:c r="A6" s="52" t="n">
        <x:v>1</x:v>
      </x:c>
      <x:c r="B6" s="52" t="str">
        <x:v>atlanta</x:v>
      </x:c>
      <x:c r="C6" s="52" t="str">
        <x:v>Atlanta</x:v>
      </x:c>
      <x:c r="D6" s="52" t="str">
        <x:v>buslane</x:v>
      </x:c>
      <x:c r="E6" s="52" t="str">
        <x:v>Transit-priority lanes</x:v>
      </x:c>
      <x:c r="F6" s="58" t="n">
        <x:v>9391018</x:v>
      </x:c>
      <x:c r="G6" s="52" t="n">
        <x:v>3</x:v>
      </x:c>
      <x:c r="H6" s="52" t="str">
        <x:v>2 lane-miles</x:v>
      </x:c>
      <x:c r="I6" s="58" t="n">
        <x:v>360000</x:v>
      </x:c>
      <x:c r="J6" s="55" t="n">
        <x:v>0.45</x:v>
      </x:c>
      <x:c r="K6" s="58" t="n">
        <x:f>G6*I6</x:f>
        <x:v>1080000</x:v>
      </x:c>
      <x:c r="L6" s="58" t="n">
        <x:f>K6*J6</x:f>
        <x:v>486000</x:v>
      </x:c>
      <x:c r="M6" s="58" t="n">
        <x:f>K6-L6</x:f>
        <x:v>594000</x:v>
      </x:c>
      <x:c r="N6" s="61" t="n">
        <x:f>K6/F6</x:f>
        <x:v>0.11500350654210226</x:v>
      </x:c>
      <x:c r="O6" s="52" t="str">
        <x:v>cone- and paint-defined bus lane with enforcement</x:v>
      </x:c>
      <x:c r="P6" s="52" t="str">
        <x:v>dedicated or peak-period transit-priority lane</x:v>
      </x:c>
      <x:c r="Q6" s="52" t="n">
        <x:v>10</x:v>
      </x:c>
      <x:c r="R6" s="52" t="str">
        <x:v>engineering_assumption</x:v>
      </x:c>
      <x:c r="S6" s="52" t="str">
        <x:v>fta-wc26</x:v>
      </x:c>
      <x:c r="T6" s="52" t="str">
        <x:v>https://www.transit.dot.gov/funding/apportionments/fta-world-cup-funding-apportionment-table</x:v>
      </x:c>
    </x:row>
    <x:row r="7">
      <x:c r="A7" s="52" t="n">
        <x:v>1</x:v>
      </x:c>
      <x:c r="B7" s="52" t="str">
        <x:v>atlanta</x:v>
      </x:c>
      <x:c r="C7" s="52" t="str">
        <x:v>Atlanta</x:v>
      </x:c>
      <x:c r="D7" s="52" t="str">
        <x:v>signals</x:v>
      </x:c>
      <x:c r="E7" s="52" t="str">
        <x:v>Signal timing plans</x:v>
      </x:c>
      <x:c r="F7" s="58" t="n">
        <x:v>9391018</x:v>
      </x:c>
      <x:c r="G7" s="52" t="n">
        <x:v>4</x:v>
      </x:c>
      <x:c r="H7" s="52" t="str">
        <x:v>20 intersections</x:v>
      </x:c>
      <x:c r="I7" s="58" t="n">
        <x:v>90000</x:v>
      </x:c>
      <x:c r="J7" s="55" t="n">
        <x:v>0.25</x:v>
      </x:c>
      <x:c r="K7" s="58" t="n">
        <x:f>G7*I7</x:f>
        <x:v>360000</x:v>
      </x:c>
      <x:c r="L7" s="58" t="n">
        <x:f>K7*J7</x:f>
        <x:v>90000</x:v>
      </x:c>
      <x:c r="M7" s="58" t="n">
        <x:f>K7-L7</x:f>
        <x:v>270000</x:v>
      </x:c>
      <x:c r="N7" s="61" t="n">
        <x:f>K7/F7</x:f>
        <x:v>0.03833450218070075</x:v>
      </x:c>
      <x:c r="O7" s="52" t="str">
        <x:v>police/manual traffic control and temporary timing plan</x:v>
      </x:c>
      <x:c r="P7" s="52" t="str">
        <x:v>adaptive controllers and transit signal priority</x:v>
      </x:c>
      <x:c r="Q7" s="52" t="n">
        <x:v>10</x:v>
      </x:c>
      <x:c r="R7" s="52" t="str">
        <x:v>engineering_assumption</x:v>
      </x:c>
      <x:c r="S7" s="52" t="str">
        <x:v>fta-wc26</x:v>
      </x:c>
      <x:c r="T7" s="52" t="str">
        <x:v>https://www.transit.dot.gov/funding/apportionments/fta-world-cup-funding-apportionment-table</x:v>
      </x:c>
    </x:row>
    <x:row r="8">
      <x:c r="A8" s="52" t="n">
        <x:v>1</x:v>
      </x:c>
      <x:c r="B8" s="52" t="str">
        <x:v>atlanta</x:v>
      </x:c>
      <x:c r="C8" s="52" t="str">
        <x:v>Atlanta</x:v>
      </x:c>
      <x:c r="D8" s="52" t="str">
        <x:v>hub</x:v>
      </x:c>
      <x:c r="E8" s="52" t="str">
        <x:v>Hub-to-stadium shuttle package</x:v>
      </x:c>
      <x:c r="F8" s="58" t="n">
        <x:v>9391018</x:v>
      </x:c>
      <x:c r="G8" s="52" t="n">
        <x:v>1</x:v>
      </x:c>
      <x:c r="H8" s="52" t="str">
        <x:v>1 hub package</x:v>
      </x:c>
      <x:c r="I8" s="58" t="n">
        <x:v>750000</x:v>
      </x:c>
      <x:c r="J8" s="55" t="n">
        <x:v>0.4</x:v>
      </x:c>
      <x:c r="K8" s="58" t="n">
        <x:f>G8*I8</x:f>
        <x:v>750000</x:v>
      </x:c>
      <x:c r="L8" s="58" t="n">
        <x:f>K8*J8</x:f>
        <x:v>300000</x:v>
      </x:c>
      <x:c r="M8" s="58" t="n">
        <x:f>K8-L8</x:f>
        <x:v>450000</x:v>
      </x:c>
      <x:c r="N8" s="61" t="n">
        <x:f>K8/F8</x:f>
        <x:v>0.07986354620979323</x:v>
      </x:c>
      <x:c r="O8" s="52" t="str">
        <x:v>pop-up shuttle zone; temporary shelters and dispatch</x:v>
      </x:c>
      <x:c r="P8" s="52" t="str">
        <x:v>permanent multimodal mobility hub</x:v>
      </x:c>
      <x:c r="Q8" s="52" t="n">
        <x:v>15</x:v>
      </x:c>
      <x:c r="R8" s="52" t="str">
        <x:v>engineering_assumption</x:v>
      </x:c>
      <x:c r="S8" s="52" t="str">
        <x:v>fta-wc26</x:v>
      </x:c>
      <x:c r="T8" s="52" t="str">
        <x:v>https://www.transit.dot.gov/funding/apportionments/fta-world-cup-funding-apportionment-table</x:v>
      </x:c>
    </x:row>
    <x:row r="9">
      <x:c r="A9" s="52" t="n">
        <x:v>1</x:v>
      </x:c>
      <x:c r="B9" s="52" t="str">
        <x:v>atlanta</x:v>
      </x:c>
      <x:c r="C9" s="52" t="str">
        <x:v>Atlanta</x:v>
      </x:c>
      <x:c r="D9" s="52" t="str">
        <x:v>parkride</x:v>
      </x:c>
      <x:c r="E9" s="52" t="str">
        <x:v>Park-and-ride package</x:v>
      </x:c>
      <x:c r="F9" s="58" t="n">
        <x:v>9391018</x:v>
      </x:c>
      <x:c r="G9" s="52" t="n">
        <x:v>0</x:v>
      </x:c>
      <x:c r="H9" s="52" t="str">
        <x:v>500 spaces</x:v>
      </x:c>
      <x:c r="I9" s="58" t="n">
        <x:v>450000</x:v>
      </x:c>
      <x:c r="J9" s="55" t="n">
        <x:v>0.5</x:v>
      </x:c>
      <x:c r="K9" s="58" t="n">
        <x:f>G9*I9</x:f>
        <x:v>0</x:v>
      </x:c>
      <x:c r="L9" s="58" t="n">
        <x:f>K9*J9</x:f>
        <x:v>0</x:v>
      </x:c>
      <x:c r="M9" s="58" t="n">
        <x:f>K9-L9</x:f>
        <x:v>0</x:v>
      </x:c>
      <x:c r="N9" s="61" t="n">
        <x:f>K9/F9</x:f>
        <x:v>0</x:v>
      </x:c>
      <x:c r="O9" s="52" t="str">
        <x:v>leased intercept lots and temporary signing</x:v>
      </x:c>
      <x:c r="P9" s="52" t="str">
        <x:v>permanent park-and-ride with charging and transit access</x:v>
      </x:c>
      <x:c r="Q9" s="52" t="n">
        <x:v>5</x:v>
      </x:c>
      <x:c r="R9" s="52" t="str">
        <x:v>engineering_assumption</x:v>
      </x:c>
      <x:c r="S9" s="52" t="str">
        <x:v>fta-wc26</x:v>
      </x:c>
      <x:c r="T9" s="52" t="str">
        <x:v>https://www.transit.dot.gov/funding/apportionments/fta-world-cup-funding-apportionment-table</x:v>
      </x:c>
    </x:row>
    <x:row r="10">
      <x:c r="A10" s="52" t="n">
        <x:v>1</x:v>
      </x:c>
      <x:c r="B10" s="52" t="str">
        <x:v>atlanta</x:v>
      </x:c>
      <x:c r="C10" s="52" t="str">
        <x:v>Atlanta</x:v>
      </x:c>
      <x:c r="D10" s="52" t="str">
        <x:v>ped</x:v>
      </x:c>
      <x:c r="E10" s="52" t="str">
        <x:v>Protected pedestrian corridor</x:v>
      </x:c>
      <x:c r="F10" s="58" t="n">
        <x:v>9391018</x:v>
      </x:c>
      <x:c r="G10" s="52" t="n">
        <x:v>0</x:v>
      </x:c>
      <x:c r="H10" s="52" t="str">
        <x:v>1 tactical mile</x:v>
      </x:c>
      <x:c r="I10" s="58" t="n">
        <x:v>600000</x:v>
      </x:c>
      <x:c r="J10" s="55" t="n">
        <x:v>0.35</x:v>
      </x:c>
      <x:c r="K10" s="58" t="n">
        <x:f>G10*I10</x:f>
        <x:v>0</x:v>
      </x:c>
      <x:c r="L10" s="58" t="n">
        <x:f>K10*J10</x:f>
        <x:v>0</x:v>
      </x:c>
      <x:c r="M10" s="58" t="n">
        <x:f>K10-L10</x:f>
        <x:v>0</x:v>
      </x:c>
      <x:c r="N10" s="61" t="n">
        <x:f>K10/F10</x:f>
        <x:v>0</x:v>
      </x:c>
      <x:c r="O10" s="52" t="str">
        <x:v>barricaded protected corridor; marshals and lighting</x:v>
      </x:c>
      <x:c r="P10" s="52" t="str">
        <x:v>widened sidewalk; lighting; drainage and separation</x:v>
      </x:c>
      <x:c r="Q10" s="52" t="n">
        <x:v>15</x:v>
      </x:c>
      <x:c r="R10" s="52" t="str">
        <x:v>engineering_assumption</x:v>
      </x:c>
      <x:c r="S10" s="52" t="str">
        <x:v>fta-wc26</x:v>
      </x:c>
      <x:c r="T10" s="52" t="str">
        <x:v>https://www.transit.dot.gov/funding/apportionments/fta-world-cup-funding-apportionment-table</x:v>
      </x:c>
    </x:row>
    <x:row r="11">
      <x:c r="A11" s="52" t="n">
        <x:v>1</x:v>
      </x:c>
      <x:c r="B11" s="52" t="str">
        <x:v>atlanta</x:v>
      </x:c>
      <x:c r="C11" s="52" t="str">
        <x:v>Atlanta</x:v>
      </x:c>
      <x:c r="D11" s="52" t="str">
        <x:v>bike</x:v>
      </x:c>
      <x:c r="E11" s="52" t="str">
        <x:v>Protected bicycle access</x:v>
      </x:c>
      <x:c r="F11" s="58" t="n">
        <x:v>9391018</x:v>
      </x:c>
      <x:c r="G11" s="52" t="n">
        <x:v>0</x:v>
      </x:c>
      <x:c r="H11" s="52" t="str">
        <x:v>2 route-miles + parking</x:v>
      </x:c>
      <x:c r="I11" s="58" t="n">
        <x:v>650000</x:v>
      </x:c>
      <x:c r="J11" s="55" t="n">
        <x:v>0.35</x:v>
      </x:c>
      <x:c r="K11" s="58" t="n">
        <x:f>G11*I11</x:f>
        <x:v>0</x:v>
      </x:c>
      <x:c r="L11" s="58" t="n">
        <x:f>K11*J11</x:f>
        <x:v>0</x:v>
      </x:c>
      <x:c r="M11" s="58" t="n">
        <x:f>K11-L11</x:f>
        <x:v>0</x:v>
      </x:c>
      <x:c r="N11" s="61" t="n">
        <x:f>K11/F11</x:f>
        <x:v>0</x:v>
      </x:c>
      <x:c r="O11" s="52" t="str">
        <x:v>pop-up protected lane and attended bike valet</x:v>
      </x:c>
      <x:c r="P11" s="52" t="str">
        <x:v>protected bikeway and secure long-term parking</x:v>
      </x:c>
      <x:c r="Q11" s="52" t="n">
        <x:v>15</x:v>
      </x:c>
      <x:c r="R11" s="52" t="str">
        <x:v>engineering_assumption</x:v>
      </x:c>
      <x:c r="S11" s="52" t="str">
        <x:v>fta-wc26</x:v>
      </x:c>
      <x:c r="T11" s="52" t="str">
        <x:v>https://www.transit.dot.gov/funding/apportionments/fta-world-cup-funding-apportionment-table</x:v>
      </x:c>
    </x:row>
    <x:row r="12">
      <x:c r="A12" s="52" t="n">
        <x:v>1</x:v>
      </x:c>
      <x:c r="B12" s="52" t="str">
        <x:v>atlanta</x:v>
      </x:c>
      <x:c r="C12" s="52" t="str">
        <x:v>Atlanta</x:v>
      </x:c>
      <x:c r="D12" s="52" t="str">
        <x:v>tnc</x:v>
      </x:c>
      <x:c r="E12" s="52" t="str">
        <x:v>Managed rideshare hub</x:v>
      </x:c>
      <x:c r="F12" s="58" t="n">
        <x:v>9391018</x:v>
      </x:c>
      <x:c r="G12" s="52" t="n">
        <x:v>1</x:v>
      </x:c>
      <x:c r="H12" s="52" t="str">
        <x:v>1 staffed hub</x:v>
      </x:c>
      <x:c r="I12" s="58" t="n">
        <x:v>400000</x:v>
      </x:c>
      <x:c r="J12" s="55" t="n">
        <x:v>0.5</x:v>
      </x:c>
      <x:c r="K12" s="58" t="n">
        <x:f>G12*I12</x:f>
        <x:v>400000</x:v>
      </x:c>
      <x:c r="L12" s="58" t="n">
        <x:f>K12*J12</x:f>
        <x:v>200000</x:v>
      </x:c>
      <x:c r="M12" s="58" t="n">
        <x:f>K12-L12</x:f>
        <x:v>200000</x:v>
      </x:c>
      <x:c r="N12" s="61" t="n">
        <x:f>K12/F12</x:f>
        <x:v>0.042593891311889724</x:v>
      </x:c>
      <x:c r="O12" s="52" t="str">
        <x:v>staffed geofenced pickup with temporary lane control</x:v>
      </x:c>
      <x:c r="P12" s="52" t="str">
        <x:v>off-street rideshare hub with accessible bays</x:v>
      </x:c>
      <x:c r="Q12" s="52" t="n">
        <x:v>10</x:v>
      </x:c>
      <x:c r="R12" s="52" t="str">
        <x:v>engineering_assumption</x:v>
      </x:c>
      <x:c r="S12" s="52" t="str">
        <x:v>fta-wc26</x:v>
      </x:c>
      <x:c r="T12" s="52" t="str">
        <x:v>https://www.transit.dot.gov/funding/apportionments/fta-world-cup-funding-apportionment-table</x:v>
      </x:c>
    </x:row>
    <x:row r="13">
      <x:c r="A13" s="52" t="n">
        <x:v>1</x:v>
      </x:c>
      <x:c r="B13" s="52" t="str">
        <x:v>atlanta</x:v>
      </x:c>
      <x:c r="C13" s="52" t="str">
        <x:v>Atlanta</x:v>
      </x:c>
      <x:c r="D13" s="52" t="str">
        <x:v>wayfinding</x:v>
      </x:c>
      <x:c r="E13" s="52" t="str">
        <x:v>Multilingual wayfinding</x:v>
      </x:c>
      <x:c r="F13" s="58" t="n">
        <x:v>9391018</x:v>
      </x:c>
      <x:c r="G13" s="52" t="n">
        <x:v>2</x:v>
      </x:c>
      <x:c r="H13" s="52" t="str">
        <x:v>city package</x:v>
      </x:c>
      <x:c r="I13" s="58" t="n">
        <x:v>300000</x:v>
      </x:c>
      <x:c r="J13" s="55" t="n">
        <x:v>0.45</x:v>
      </x:c>
      <x:c r="K13" s="58" t="n">
        <x:f>G13*I13</x:f>
        <x:v>600000</x:v>
      </x:c>
      <x:c r="L13" s="58" t="n">
        <x:f>K13*J13</x:f>
        <x:v>270000</x:v>
      </x:c>
      <x:c r="M13" s="58" t="n">
        <x:f>K13-L13</x:f>
        <x:v>330000</x:v>
      </x:c>
      <x:c r="N13" s="61" t="n">
        <x:f>K13/F13</x:f>
        <x:v>0.06389083696783458</x:v>
      </x:c>
      <x:c r="O13" s="52" t="str">
        <x:v>portable signs; digital messages; multilingual ambassadors</x:v>
      </x:c>
      <x:c r="P13" s="52" t="str">
        <x:v>fixed multilingual physical and digital wayfinding</x:v>
      </x:c>
      <x:c r="Q13" s="52" t="n">
        <x:v>7</x:v>
      </x:c>
      <x:c r="R13" s="52" t="str">
        <x:v>engineering_assumption</x:v>
      </x:c>
      <x:c r="S13" s="52" t="str">
        <x:v>fta-wc26</x:v>
      </x:c>
      <x:c r="T13" s="52" t="str">
        <x:v>https://www.transit.dot.gov/funding/apportionments/fta-world-cup-funding-apportionment-table</x:v>
      </x:c>
    </x:row>
    <x:row r="14">
      <x:c r="A14" s="52" t="n">
        <x:v>1</x:v>
      </x:c>
      <x:c r="B14" s="52" t="str">
        <x:v>atlanta</x:v>
      </x:c>
      <x:c r="C14" s="52" t="str">
        <x:v>Atlanta</x:v>
      </x:c>
      <x:c r="D14" s="52" t="str">
        <x:v>station</x:v>
      </x:c>
      <x:c r="E14" s="52" t="str">
        <x:v>Station-capacity package</x:v>
      </x:c>
      <x:c r="F14" s="58" t="n">
        <x:v>9391018</x:v>
      </x:c>
      <x:c r="G14" s="52" t="n">
        <x:v>2</x:v>
      </x:c>
      <x:c r="H14" s="52" t="str">
        <x:v>1 station</x:v>
      </x:c>
      <x:c r="I14" s="58" t="n">
        <x:v>1250000</x:v>
      </x:c>
      <x:c r="J14" s="55" t="n">
        <x:v>0.2</x:v>
      </x:c>
      <x:c r="K14" s="58" t="n">
        <x:f>G14*I14</x:f>
        <x:v>2500000</x:v>
      </x:c>
      <x:c r="L14" s="58" t="n">
        <x:f>K14*J14</x:f>
        <x:v>500000</x:v>
      </x:c>
      <x:c r="M14" s="58" t="n">
        <x:f>K14-L14</x:f>
        <x:v>2000000</x:v>
      </x:c>
      <x:c r="N14" s="61" t="n">
        <x:f>K14/F14</x:f>
        <x:v>0.26621182069931076</x:v>
      </x:c>
      <x:c r="O14" s="52" t="str">
        <x:v>temporary gates; queue barriers; portable fare equipment</x:v>
      </x:c>
      <x:c r="P14" s="52" t="str">
        <x:v>platform, entry and circulation expansion</x:v>
      </x:c>
      <x:c r="Q14" s="52" t="n">
        <x:v>25</x:v>
      </x:c>
      <x:c r="R14" s="52" t="str">
        <x:v>engineering_assumption</x:v>
      </x:c>
      <x:c r="S14" s="52" t="str">
        <x:v>fta-wc26</x:v>
      </x:c>
      <x:c r="T14" s="52" t="str">
        <x:v>https://www.transit.dot.gov/funding/apportionments/fta-world-cup-funding-apportionment-table</x:v>
      </x:c>
    </x:row>
    <x:row r="15">
      <x:c r="A15" s="52" t="n">
        <x:v>1</x:v>
      </x:c>
      <x:c r="B15" s="52" t="str">
        <x:v>atlanta</x:v>
      </x:c>
      <x:c r="C15" s="52" t="str">
        <x:v>Atlanta</x:v>
      </x:c>
      <x:c r="D15" s="52" t="str">
        <x:v>toc</x:v>
      </x:c>
      <x:c r="E15" s="52" t="str">
        <x:v>Integrated traffic operations</x:v>
      </x:c>
      <x:c r="F15" s="58" t="n">
        <x:v>9391018</x:v>
      </x:c>
      <x:c r="G15" s="52" t="n">
        <x:v>2</x:v>
      </x:c>
      <x:c r="H15" s="52" t="str">
        <x:v>city package</x:v>
      </x:c>
      <x:c r="I15" s="58" t="n">
        <x:v>750000</x:v>
      </x:c>
      <x:c r="J15" s="55" t="n">
        <x:v>0.25</x:v>
      </x:c>
      <x:c r="K15" s="58" t="n">
        <x:f>G15*I15</x:f>
        <x:v>1500000</x:v>
      </x:c>
      <x:c r="L15" s="58" t="n">
        <x:f>K15*J15</x:f>
        <x:v>375000</x:v>
      </x:c>
      <x:c r="M15" s="58" t="n">
        <x:f>K15-L15</x:f>
        <x:v>1125000</x:v>
      </x:c>
      <x:c r="N15" s="61" t="n">
        <x:f>K15/F15</x:f>
        <x:v>0.15972709241958646</x:v>
      </x:c>
      <x:c r="O15" s="52" t="str">
        <x:v>unified incident command and temporary sensor feeds</x:v>
      </x:c>
      <x:c r="P15" s="52" t="str">
        <x:v>integrated operations center and adaptive dispatch</x:v>
      </x:c>
      <x:c r="Q15" s="52" t="n">
        <x:v>10</x:v>
      </x:c>
      <x:c r="R15" s="52" t="str">
        <x:v>engineering_assumption</x:v>
      </x:c>
      <x:c r="S15" s="52" t="str">
        <x:v>fta-wc26</x:v>
      </x:c>
      <x:c r="T15" s="52" t="str">
        <x:v>https://www.transit.dot.gov/funding/apportionments/fta-world-cup-funding-apportionment-table</x:v>
      </x:c>
    </x:row>
    <x:row r="16">
      <x:c r="A16" s="52" t="n">
        <x:v>1</x:v>
      </x:c>
      <x:c r="B16" s="52" t="str">
        <x:v>atlanta</x:v>
      </x:c>
      <x:c r="C16" s="52" t="str">
        <x:v>Atlanta</x:v>
      </x:c>
      <x:c r="D16" s="52" t="str">
        <x:v>access</x:v>
      </x:c>
      <x:c r="E16" s="52" t="str">
        <x:v>ADA/microtransit access</x:v>
      </x:c>
      <x:c r="F16" s="58" t="n">
        <x:v>9391018</x:v>
      </x:c>
      <x:c r="G16" s="52" t="n">
        <x:v>0</x:v>
      </x:c>
      <x:c r="H16" s="52" t="str">
        <x:v>city package</x:v>
      </x:c>
      <x:c r="I16" s="58" t="n">
        <x:v>500000</x:v>
      </x:c>
      <x:c r="J16" s="55" t="n">
        <x:v>0.3</x:v>
      </x:c>
      <x:c r="K16" s="58" t="n">
        <x:f>G16*I16</x:f>
        <x:v>0</x:v>
      </x:c>
      <x:c r="L16" s="58" t="n">
        <x:f>K16*J16</x:f>
        <x:v>0</x:v>
      </x:c>
      <x:c r="M16" s="58" t="n">
        <x:f>K16-L16</x:f>
        <x:v>0</x:v>
      </x:c>
      <x:c r="N16" s="61" t="n">
        <x:f>K16/F16</x:f>
        <x:v>0</x:v>
      </x:c>
      <x:c r="O16" s="52" t="str">
        <x:v>accessible shuttles; temporary ramps and staffed assistance</x:v>
      </x:c>
      <x:c r="P16" s="52" t="str">
        <x:v>ADA ramps; tactile guidance; accessible first/last-mile network</x:v>
      </x:c>
      <x:c r="Q16" s="52" t="n">
        <x:v>15</x:v>
      </x:c>
      <x:c r="R16" s="52" t="str">
        <x:v>engineering_assumption</x:v>
      </x:c>
      <x:c r="S16" s="52" t="str">
        <x:v>fta-wc26</x:v>
      </x:c>
      <x:c r="T16" s="52" t="str">
        <x:v>https://www.transit.dot.gov/funding/apportionments/fta-world-cup-funding-apportionment-table</x:v>
      </x:c>
    </x:row>
    <x:row r="17">
      <x:c r="A17" s="57" t="n">
        <x:v>1</x:v>
      </x:c>
      <x:c r="B17" s="57" t="str">
        <x:v>atlanta</x:v>
      </x:c>
      <x:c r="C17" s="57" t="str">
        <x:v>Atlanta</x:v>
      </x:c>
      <x:c r="D17" s="57" t="str">
        <x:v>reserve</x:v>
      </x:c>
      <x:c r="E17" s="57" t="str">
        <x:v>Unassigned program reserve</x:v>
      </x:c>
      <x:c r="F17" s="59" t="n">
        <x:v>9391018</x:v>
      </x:c>
      <x:c r="G17" s="57" t="n">
        <x:v>1</x:v>
      </x:c>
      <x:c r="H17" s="57" t="str">
        <x:v>residual</x:v>
      </x:c>
      <x:c r="I17" s="59"/>
      <x:c r="J17" s="60" t="n">
        <x:v>0</x:v>
      </x:c>
      <x:c r="K17" s="59" t="n">
        <x:f>F17-SUM(K5:K16)</x:f>
        <x:v>1018</x:v>
      </x:c>
      <x:c r="L17" s="59" t="n">
        <x:v>0</x:v>
      </x:c>
      <x:c r="M17" s="59" t="n">
        <x:v>0</x:v>
      </x:c>
      <x:c r="N17" s="62" t="n">
        <x:f>K17/F17</x:f>
        <x:v>0.00010840145338875935</x:v>
      </x:c>
      <x:c r="O17" s="57" t="str">
        <x:v>Not committed in this demonstration model</x:v>
      </x:c>
      <x:c r="P17" s="57" t="str">
        <x:v>Release only after engineering, operations and contingency review</x:v>
      </x:c>
      <x:c r="Q17" s="57" t="n">
        <x:v>0</x:v>
      </x:c>
      <x:c r="R17" s="57" t="str">
        <x:v>formula_residual</x:v>
      </x:c>
      <x:c r="S17" s="57" t="str">
        <x:v>fta-wc26</x:v>
      </x:c>
      <x:c r="T17" s="57" t="str">
        <x:v>https://www.transit.dot.gov/funding/apportionments/fta-world-cup-funding-apportionment-table</x:v>
      </x:c>
    </x:row>
    <x:row r="18">
      <x:c r="A18" s="52" t="n">
        <x:v>2</x:v>
      </x:c>
      <x:c r="B18" s="52" t="str">
        <x:v>boston</x:v>
      </x:c>
      <x:c r="C18" s="52" t="str">
        <x:v>Boston</x:v>
      </x:c>
      <x:c r="D18" s="52" t="str">
        <x:v>service</x:v>
      </x:c>
      <x:c r="E18" s="52" t="str">
        <x:v>Extra transit service</x:v>
      </x:c>
      <x:c r="F18" s="58" t="n">
        <x:v>8671598</x:v>
      </x:c>
      <x:c r="G18" s="52" t="n">
        <x:v>3</x:v>
      </x:c>
      <x:c r="H18" s="52" t="str">
        <x:v>2,500 vehicle-hours</x:v>
      </x:c>
      <x:c r="I18" s="58" t="n">
        <x:v>550000</x:v>
      </x:c>
      <x:c r="J18" s="55" t="n">
        <x:v>0.8</x:v>
      </x:c>
      <x:c r="K18" s="58" t="n">
        <x:f>G18*I18</x:f>
        <x:v>1650000</x:v>
      </x:c>
      <x:c r="L18" s="58" t="n">
        <x:f>K18*J18</x:f>
        <x:v>1320000</x:v>
      </x:c>
      <x:c r="M18" s="58" t="n">
        <x:f>K18-L18</x:f>
        <x:v>330000</x:v>
      </x:c>
      <x:c r="N18" s="61" t="n">
        <x:f>K18/F18</x:f>
        <x:v>0.19027634814252228</x:v>
      </x:c>
      <x:c r="O18" s="52" t="str">
        <x:v>extra rail/bus vehicle-hours; standby operators; event timetable</x:v>
      </x:c>
      <x:c r="P18" s="52" t="str">
        <x:v>recurring major-event service plan; fleet and stabling readiness</x:v>
      </x:c>
      <x:c r="Q18" s="52" t="n">
        <x:v>1</x:v>
      </x:c>
      <x:c r="R18" s="52" t="str">
        <x:v>engineering_assumption</x:v>
      </x:c>
      <x:c r="S18" s="52" t="str">
        <x:v>fta-wc26</x:v>
      </x:c>
      <x:c r="T18" s="52" t="str">
        <x:v>https://www.transit.dot.gov/funding/apportionments/fta-world-cup-funding-apportionment-table</x:v>
      </x:c>
    </x:row>
    <x:row r="19">
      <x:c r="A19" s="52" t="n">
        <x:v>2</x:v>
      </x:c>
      <x:c r="B19" s="52" t="str">
        <x:v>boston</x:v>
      </x:c>
      <x:c r="C19" s="52" t="str">
        <x:v>Boston</x:v>
      </x:c>
      <x:c r="D19" s="52" t="str">
        <x:v>buslane</x:v>
      </x:c>
      <x:c r="E19" s="52" t="str">
        <x:v>Transit-priority lanes</x:v>
      </x:c>
      <x:c r="F19" s="58" t="n">
        <x:v>8671598</x:v>
      </x:c>
      <x:c r="G19" s="52" t="n">
        <x:v>4</x:v>
      </x:c>
      <x:c r="H19" s="52" t="str">
        <x:v>2 lane-miles</x:v>
      </x:c>
      <x:c r="I19" s="58" t="n">
        <x:v>360000</x:v>
      </x:c>
      <x:c r="J19" s="55" t="n">
        <x:v>0.45</x:v>
      </x:c>
      <x:c r="K19" s="58" t="n">
        <x:f>G19*I19</x:f>
        <x:v>1440000</x:v>
      </x:c>
      <x:c r="L19" s="58" t="n">
        <x:f>K19*J19</x:f>
        <x:v>648000</x:v>
      </x:c>
      <x:c r="M19" s="58" t="n">
        <x:f>K19-L19</x:f>
        <x:v>792000</x:v>
      </x:c>
      <x:c r="N19" s="61" t="n">
        <x:f>K19/F19</x:f>
        <x:v>0.16605935837892855</x:v>
      </x:c>
      <x:c r="O19" s="52" t="str">
        <x:v>cone- and paint-defined bus lane with enforcement</x:v>
      </x:c>
      <x:c r="P19" s="52" t="str">
        <x:v>dedicated or peak-period transit-priority lane</x:v>
      </x:c>
      <x:c r="Q19" s="52" t="n">
        <x:v>10</x:v>
      </x:c>
      <x:c r="R19" s="52" t="str">
        <x:v>engineering_assumption</x:v>
      </x:c>
      <x:c r="S19" s="52" t="str">
        <x:v>fta-wc26</x:v>
      </x:c>
      <x:c r="T19" s="52" t="str">
        <x:v>https://www.transit.dot.gov/funding/apportionments/fta-world-cup-funding-apportionment-table</x:v>
      </x:c>
    </x:row>
    <x:row r="20">
      <x:c r="A20" s="52" t="n">
        <x:v>2</x:v>
      </x:c>
      <x:c r="B20" s="52" t="str">
        <x:v>boston</x:v>
      </x:c>
      <x:c r="C20" s="52" t="str">
        <x:v>Boston</x:v>
      </x:c>
      <x:c r="D20" s="52" t="str">
        <x:v>signals</x:v>
      </x:c>
      <x:c r="E20" s="52" t="str">
        <x:v>Signal timing plans</x:v>
      </x:c>
      <x:c r="F20" s="58" t="n">
        <x:v>8671598</x:v>
      </x:c>
      <x:c r="G20" s="52" t="n">
        <x:v>3</x:v>
      </x:c>
      <x:c r="H20" s="52" t="str">
        <x:v>20 intersections</x:v>
      </x:c>
      <x:c r="I20" s="58" t="n">
        <x:v>90000</x:v>
      </x:c>
      <x:c r="J20" s="55" t="n">
        <x:v>0.25</x:v>
      </x:c>
      <x:c r="K20" s="58" t="n">
        <x:f>G20*I20</x:f>
        <x:v>270000</x:v>
      </x:c>
      <x:c r="L20" s="58" t="n">
        <x:f>K20*J20</x:f>
        <x:v>67500</x:v>
      </x:c>
      <x:c r="M20" s="58" t="n">
        <x:f>K20-L20</x:f>
        <x:v>202500</x:v>
      </x:c>
      <x:c r="N20" s="61" t="n">
        <x:f>K20/F20</x:f>
        <x:v>0.031136129696049102</x:v>
      </x:c>
      <x:c r="O20" s="52" t="str">
        <x:v>police/manual traffic control and temporary timing plan</x:v>
      </x:c>
      <x:c r="P20" s="52" t="str">
        <x:v>adaptive controllers and transit signal priority</x:v>
      </x:c>
      <x:c r="Q20" s="52" t="n">
        <x:v>10</x:v>
      </x:c>
      <x:c r="R20" s="52" t="str">
        <x:v>engineering_assumption</x:v>
      </x:c>
      <x:c r="S20" s="52" t="str">
        <x:v>fta-wc26</x:v>
      </x:c>
      <x:c r="T20" s="52" t="str">
        <x:v>https://www.transit.dot.gov/funding/apportionments/fta-world-cup-funding-apportionment-table</x:v>
      </x:c>
    </x:row>
    <x:row r="21">
      <x:c r="A21" s="52" t="n">
        <x:v>2</x:v>
      </x:c>
      <x:c r="B21" s="52" t="str">
        <x:v>boston</x:v>
      </x:c>
      <x:c r="C21" s="52" t="str">
        <x:v>Boston</x:v>
      </x:c>
      <x:c r="D21" s="52" t="str">
        <x:v>hub</x:v>
      </x:c>
      <x:c r="E21" s="52" t="str">
        <x:v>Hub-to-stadium shuttle package</x:v>
      </x:c>
      <x:c r="F21" s="58" t="n">
        <x:v>8671598</x:v>
      </x:c>
      <x:c r="G21" s="52" t="n">
        <x:v>3</x:v>
      </x:c>
      <x:c r="H21" s="52" t="str">
        <x:v>1 hub package</x:v>
      </x:c>
      <x:c r="I21" s="58" t="n">
        <x:v>750000</x:v>
      </x:c>
      <x:c r="J21" s="55" t="n">
        <x:v>0.4</x:v>
      </x:c>
      <x:c r="K21" s="58" t="n">
        <x:f>G21*I21</x:f>
        <x:v>2250000</x:v>
      </x:c>
      <x:c r="L21" s="58" t="n">
        <x:f>K21*J21</x:f>
        <x:v>900000</x:v>
      </x:c>
      <x:c r="M21" s="58" t="n">
        <x:f>K21-L21</x:f>
        <x:v>1350000</x:v>
      </x:c>
      <x:c r="N21" s="61" t="n">
        <x:f>K21/F21</x:f>
        <x:v>0.25946774746707585</x:v>
      </x:c>
      <x:c r="O21" s="52" t="str">
        <x:v>pop-up shuttle zone; temporary shelters and dispatch</x:v>
      </x:c>
      <x:c r="P21" s="52" t="str">
        <x:v>permanent multimodal mobility hub</x:v>
      </x:c>
      <x:c r="Q21" s="52" t="n">
        <x:v>15</x:v>
      </x:c>
      <x:c r="R21" s="52" t="str">
        <x:v>engineering_assumption</x:v>
      </x:c>
      <x:c r="S21" s="52" t="str">
        <x:v>fta-wc26</x:v>
      </x:c>
      <x:c r="T21" s="52" t="str">
        <x:v>https://www.transit.dot.gov/funding/apportionments/fta-world-cup-funding-apportionment-table</x:v>
      </x:c>
    </x:row>
    <x:row r="22">
      <x:c r="A22" s="52" t="n">
        <x:v>2</x:v>
      </x:c>
      <x:c r="B22" s="52" t="str">
        <x:v>boston</x:v>
      </x:c>
      <x:c r="C22" s="52" t="str">
        <x:v>Boston</x:v>
      </x:c>
      <x:c r="D22" s="52" t="str">
        <x:v>parkride</x:v>
      </x:c>
      <x:c r="E22" s="52" t="str">
        <x:v>Park-and-ride package</x:v>
      </x:c>
      <x:c r="F22" s="58" t="n">
        <x:v>8671598</x:v>
      </x:c>
      <x:c r="G22" s="52" t="n">
        <x:v>1</x:v>
      </x:c>
      <x:c r="H22" s="52" t="str">
        <x:v>500 spaces</x:v>
      </x:c>
      <x:c r="I22" s="58" t="n">
        <x:v>450000</x:v>
      </x:c>
      <x:c r="J22" s="55" t="n">
        <x:v>0.5</x:v>
      </x:c>
      <x:c r="K22" s="58" t="n">
        <x:f>G22*I22</x:f>
        <x:v>450000</x:v>
      </x:c>
      <x:c r="L22" s="58" t="n">
        <x:f>K22*J22</x:f>
        <x:v>225000</x:v>
      </x:c>
      <x:c r="M22" s="58" t="n">
        <x:f>K22-L22</x:f>
        <x:v>225000</x:v>
      </x:c>
      <x:c r="N22" s="61" t="n">
        <x:f>K22/F22</x:f>
        <x:v>0.05189354949341517</x:v>
      </x:c>
      <x:c r="O22" s="52" t="str">
        <x:v>leased intercept lots and temporary signing</x:v>
      </x:c>
      <x:c r="P22" s="52" t="str">
        <x:v>permanent park-and-ride with charging and transit access</x:v>
      </x:c>
      <x:c r="Q22" s="52" t="n">
        <x:v>5</x:v>
      </x:c>
      <x:c r="R22" s="52" t="str">
        <x:v>engineering_assumption</x:v>
      </x:c>
      <x:c r="S22" s="52" t="str">
        <x:v>fta-wc26</x:v>
      </x:c>
      <x:c r="T22" s="52" t="str">
        <x:v>https://www.transit.dot.gov/funding/apportionments/fta-world-cup-funding-apportionment-table</x:v>
      </x:c>
    </x:row>
    <x:row r="23">
      <x:c r="A23" s="52" t="n">
        <x:v>2</x:v>
      </x:c>
      <x:c r="B23" s="52" t="str">
        <x:v>boston</x:v>
      </x:c>
      <x:c r="C23" s="52" t="str">
        <x:v>Boston</x:v>
      </x:c>
      <x:c r="D23" s="52" t="str">
        <x:v>ped</x:v>
      </x:c>
      <x:c r="E23" s="52" t="str">
        <x:v>Protected pedestrian corridor</x:v>
      </x:c>
      <x:c r="F23" s="58" t="n">
        <x:v>8671598</x:v>
      </x:c>
      <x:c r="G23" s="52" t="n">
        <x:v>0</x:v>
      </x:c>
      <x:c r="H23" s="52" t="str">
        <x:v>1 tactical mile</x:v>
      </x:c>
      <x:c r="I23" s="58" t="n">
        <x:v>600000</x:v>
      </x:c>
      <x:c r="J23" s="55" t="n">
        <x:v>0.35</x:v>
      </x:c>
      <x:c r="K23" s="58" t="n">
        <x:f>G23*I23</x:f>
        <x:v>0</x:v>
      </x:c>
      <x:c r="L23" s="58" t="n">
        <x:f>K23*J23</x:f>
        <x:v>0</x:v>
      </x:c>
      <x:c r="M23" s="58" t="n">
        <x:f>K23-L23</x:f>
        <x:v>0</x:v>
      </x:c>
      <x:c r="N23" s="61" t="n">
        <x:f>K23/F23</x:f>
        <x:v>0</x:v>
      </x:c>
      <x:c r="O23" s="52" t="str">
        <x:v>barricaded protected corridor; marshals and lighting</x:v>
      </x:c>
      <x:c r="P23" s="52" t="str">
        <x:v>widened sidewalk; lighting; drainage and separation</x:v>
      </x:c>
      <x:c r="Q23" s="52" t="n">
        <x:v>15</x:v>
      </x:c>
      <x:c r="R23" s="52" t="str">
        <x:v>engineering_assumption</x:v>
      </x:c>
      <x:c r="S23" s="52" t="str">
        <x:v>fta-wc26</x:v>
      </x:c>
      <x:c r="T23" s="52" t="str">
        <x:v>https://www.transit.dot.gov/funding/apportionments/fta-world-cup-funding-apportionment-table</x:v>
      </x:c>
    </x:row>
    <x:row r="24">
      <x:c r="A24" s="52" t="n">
        <x:v>2</x:v>
      </x:c>
      <x:c r="B24" s="52" t="str">
        <x:v>boston</x:v>
      </x:c>
      <x:c r="C24" s="52" t="str">
        <x:v>Boston</x:v>
      </x:c>
      <x:c r="D24" s="52" t="str">
        <x:v>bike</x:v>
      </x:c>
      <x:c r="E24" s="52" t="str">
        <x:v>Protected bicycle access</x:v>
      </x:c>
      <x:c r="F24" s="58" t="n">
        <x:v>8671598</x:v>
      </x:c>
      <x:c r="G24" s="52" t="n">
        <x:v>0</x:v>
      </x:c>
      <x:c r="H24" s="52" t="str">
        <x:v>2 route-miles + parking</x:v>
      </x:c>
      <x:c r="I24" s="58" t="n">
        <x:v>650000</x:v>
      </x:c>
      <x:c r="J24" s="55" t="n">
        <x:v>0.35</x:v>
      </x:c>
      <x:c r="K24" s="58" t="n">
        <x:f>G24*I24</x:f>
        <x:v>0</x:v>
      </x:c>
      <x:c r="L24" s="58" t="n">
        <x:f>K24*J24</x:f>
        <x:v>0</x:v>
      </x:c>
      <x:c r="M24" s="58" t="n">
        <x:f>K24-L24</x:f>
        <x:v>0</x:v>
      </x:c>
      <x:c r="N24" s="61" t="n">
        <x:f>K24/F24</x:f>
        <x:v>0</x:v>
      </x:c>
      <x:c r="O24" s="52" t="str">
        <x:v>pop-up protected lane and attended bike valet</x:v>
      </x:c>
      <x:c r="P24" s="52" t="str">
        <x:v>protected bikeway and secure long-term parking</x:v>
      </x:c>
      <x:c r="Q24" s="52" t="n">
        <x:v>15</x:v>
      </x:c>
      <x:c r="R24" s="52" t="str">
        <x:v>engineering_assumption</x:v>
      </x:c>
      <x:c r="S24" s="52" t="str">
        <x:v>fta-wc26</x:v>
      </x:c>
      <x:c r="T24" s="52" t="str">
        <x:v>https://www.transit.dot.gov/funding/apportionments/fta-world-cup-funding-apportionment-table</x:v>
      </x:c>
    </x:row>
    <x:row r="25">
      <x:c r="A25" s="52" t="n">
        <x:v>2</x:v>
      </x:c>
      <x:c r="B25" s="52" t="str">
        <x:v>boston</x:v>
      </x:c>
      <x:c r="C25" s="52" t="str">
        <x:v>Boston</x:v>
      </x:c>
      <x:c r="D25" s="52" t="str">
        <x:v>tnc</x:v>
      </x:c>
      <x:c r="E25" s="52" t="str">
        <x:v>Managed rideshare hub</x:v>
      </x:c>
      <x:c r="F25" s="58" t="n">
        <x:v>8671598</x:v>
      </x:c>
      <x:c r="G25" s="52" t="n">
        <x:v>2</x:v>
      </x:c>
      <x:c r="H25" s="52" t="str">
        <x:v>1 staffed hub</x:v>
      </x:c>
      <x:c r="I25" s="58" t="n">
        <x:v>400000</x:v>
      </x:c>
      <x:c r="J25" s="55" t="n">
        <x:v>0.5</x:v>
      </x:c>
      <x:c r="K25" s="58" t="n">
        <x:f>G25*I25</x:f>
        <x:v>800000</x:v>
      </x:c>
      <x:c r="L25" s="58" t="n">
        <x:f>K25*J25</x:f>
        <x:v>400000</x:v>
      </x:c>
      <x:c r="M25" s="58" t="n">
        <x:f>K25-L25</x:f>
        <x:v>400000</x:v>
      </x:c>
      <x:c r="N25" s="61" t="n">
        <x:f>K25/F25</x:f>
        <x:v>0.09225519909940474</x:v>
      </x:c>
      <x:c r="O25" s="52" t="str">
        <x:v>staffed geofenced pickup with temporary lane control</x:v>
      </x:c>
      <x:c r="P25" s="52" t="str">
        <x:v>off-street rideshare hub with accessible bays</x:v>
      </x:c>
      <x:c r="Q25" s="52" t="n">
        <x:v>10</x:v>
      </x:c>
      <x:c r="R25" s="52" t="str">
        <x:v>engineering_assumption</x:v>
      </x:c>
      <x:c r="S25" s="52" t="str">
        <x:v>fta-wc26</x:v>
      </x:c>
      <x:c r="T25" s="52" t="str">
        <x:v>https://www.transit.dot.gov/funding/apportionments/fta-world-cup-funding-apportionment-table</x:v>
      </x:c>
    </x:row>
    <x:row r="26">
      <x:c r="A26" s="52" t="n">
        <x:v>2</x:v>
      </x:c>
      <x:c r="B26" s="52" t="str">
        <x:v>boston</x:v>
      </x:c>
      <x:c r="C26" s="52" t="str">
        <x:v>Boston</x:v>
      </x:c>
      <x:c r="D26" s="52" t="str">
        <x:v>wayfinding</x:v>
      </x:c>
      <x:c r="E26" s="52" t="str">
        <x:v>Multilingual wayfinding</x:v>
      </x:c>
      <x:c r="F26" s="58" t="n">
        <x:v>8671598</x:v>
      </x:c>
      <x:c r="G26" s="52" t="n">
        <x:v>1</x:v>
      </x:c>
      <x:c r="H26" s="52" t="str">
        <x:v>city package</x:v>
      </x:c>
      <x:c r="I26" s="58" t="n">
        <x:v>300000</x:v>
      </x:c>
      <x:c r="J26" s="55" t="n">
        <x:v>0.45</x:v>
      </x:c>
      <x:c r="K26" s="58" t="n">
        <x:f>G26*I26</x:f>
        <x:v>300000</x:v>
      </x:c>
      <x:c r="L26" s="58" t="n">
        <x:f>K26*J26</x:f>
        <x:v>135000</x:v>
      </x:c>
      <x:c r="M26" s="58" t="n">
        <x:f>K26-L26</x:f>
        <x:v>165000</x:v>
      </x:c>
      <x:c r="N26" s="61" t="n">
        <x:f>K26/F26</x:f>
        <x:v>0.03459569966227678</x:v>
      </x:c>
      <x:c r="O26" s="52" t="str">
        <x:v>portable signs; digital messages; multilingual ambassadors</x:v>
      </x:c>
      <x:c r="P26" s="52" t="str">
        <x:v>fixed multilingual physical and digital wayfinding</x:v>
      </x:c>
      <x:c r="Q26" s="52" t="n">
        <x:v>7</x:v>
      </x:c>
      <x:c r="R26" s="52" t="str">
        <x:v>engineering_assumption</x:v>
      </x:c>
      <x:c r="S26" s="52" t="str">
        <x:v>fta-wc26</x:v>
      </x:c>
      <x:c r="T26" s="52" t="str">
        <x:v>https://www.transit.dot.gov/funding/apportionments/fta-world-cup-funding-apportionment-table</x:v>
      </x:c>
    </x:row>
    <x:row r="27">
      <x:c r="A27" s="52" t="n">
        <x:v>2</x:v>
      </x:c>
      <x:c r="B27" s="52" t="str">
        <x:v>boston</x:v>
      </x:c>
      <x:c r="C27" s="52" t="str">
        <x:v>Boston</x:v>
      </x:c>
      <x:c r="D27" s="52" t="str">
        <x:v>station</x:v>
      </x:c>
      <x:c r="E27" s="52" t="str">
        <x:v>Station-capacity package</x:v>
      </x:c>
      <x:c r="F27" s="58" t="n">
        <x:v>8671598</x:v>
      </x:c>
      <x:c r="G27" s="52" t="n">
        <x:v>0</x:v>
      </x:c>
      <x:c r="H27" s="52" t="str">
        <x:v>1 station</x:v>
      </x:c>
      <x:c r="I27" s="58" t="n">
        <x:v>1250000</x:v>
      </x:c>
      <x:c r="J27" s="55" t="n">
        <x:v>0.2</x:v>
      </x:c>
      <x:c r="K27" s="58" t="n">
        <x:f>G27*I27</x:f>
        <x:v>0</x:v>
      </x:c>
      <x:c r="L27" s="58" t="n">
        <x:f>K27*J27</x:f>
        <x:v>0</x:v>
      </x:c>
      <x:c r="M27" s="58" t="n">
        <x:f>K27-L27</x:f>
        <x:v>0</x:v>
      </x:c>
      <x:c r="N27" s="61" t="n">
        <x:f>K27/F27</x:f>
        <x:v>0</x:v>
      </x:c>
      <x:c r="O27" s="52" t="str">
        <x:v>temporary gates; queue barriers; portable fare equipment</x:v>
      </x:c>
      <x:c r="P27" s="52" t="str">
        <x:v>platform, entry and circulation expansion</x:v>
      </x:c>
      <x:c r="Q27" s="52" t="n">
        <x:v>25</x:v>
      </x:c>
      <x:c r="R27" s="52" t="str">
        <x:v>engineering_assumption</x:v>
      </x:c>
      <x:c r="S27" s="52" t="str">
        <x:v>fta-wc26</x:v>
      </x:c>
      <x:c r="T27" s="52" t="str">
        <x:v>https://www.transit.dot.gov/funding/apportionments/fta-world-cup-funding-apportionment-table</x:v>
      </x:c>
    </x:row>
    <x:row r="28">
      <x:c r="A28" s="52" t="n">
        <x:v>2</x:v>
      </x:c>
      <x:c r="B28" s="52" t="str">
        <x:v>boston</x:v>
      </x:c>
      <x:c r="C28" s="52" t="str">
        <x:v>Boston</x:v>
      </x:c>
      <x:c r="D28" s="52" t="str">
        <x:v>toc</x:v>
      </x:c>
      <x:c r="E28" s="52" t="str">
        <x:v>Integrated traffic operations</x:v>
      </x:c>
      <x:c r="F28" s="58" t="n">
        <x:v>8671598</x:v>
      </x:c>
      <x:c r="G28" s="52" t="n">
        <x:v>2</x:v>
      </x:c>
      <x:c r="H28" s="52" t="str">
        <x:v>city package</x:v>
      </x:c>
      <x:c r="I28" s="58" t="n">
        <x:v>750000</x:v>
      </x:c>
      <x:c r="J28" s="55" t="n">
        <x:v>0.25</x:v>
      </x:c>
      <x:c r="K28" s="58" t="n">
        <x:f>G28*I28</x:f>
        <x:v>1500000</x:v>
      </x:c>
      <x:c r="L28" s="58" t="n">
        <x:f>K28*J28</x:f>
        <x:v>375000</x:v>
      </x:c>
      <x:c r="M28" s="58" t="n">
        <x:f>K28-L28</x:f>
        <x:v>1125000</x:v>
      </x:c>
      <x:c r="N28" s="61" t="n">
        <x:f>K28/F28</x:f>
        <x:v>0.1729784983113839</x:v>
      </x:c>
      <x:c r="O28" s="52" t="str">
        <x:v>unified incident command and temporary sensor feeds</x:v>
      </x:c>
      <x:c r="P28" s="52" t="str">
        <x:v>integrated operations center and adaptive dispatch</x:v>
      </x:c>
      <x:c r="Q28" s="52" t="n">
        <x:v>10</x:v>
      </x:c>
      <x:c r="R28" s="52" t="str">
        <x:v>engineering_assumption</x:v>
      </x:c>
      <x:c r="S28" s="52" t="str">
        <x:v>fta-wc26</x:v>
      </x:c>
      <x:c r="T28" s="52" t="str">
        <x:v>https://www.transit.dot.gov/funding/apportionments/fta-world-cup-funding-apportionment-table</x:v>
      </x:c>
    </x:row>
    <x:row r="29">
      <x:c r="A29" s="52" t="n">
        <x:v>2</x:v>
      </x:c>
      <x:c r="B29" s="52" t="str">
        <x:v>boston</x:v>
      </x:c>
      <x:c r="C29" s="52" t="str">
        <x:v>Boston</x:v>
      </x:c>
      <x:c r="D29" s="52" t="str">
        <x:v>access</x:v>
      </x:c>
      <x:c r="E29" s="52" t="str">
        <x:v>ADA/microtransit access</x:v>
      </x:c>
      <x:c r="F29" s="58" t="n">
        <x:v>8671598</x:v>
      </x:c>
      <x:c r="G29" s="52" t="n">
        <x:v>0</x:v>
      </x:c>
      <x:c r="H29" s="52" t="str">
        <x:v>city package</x:v>
      </x:c>
      <x:c r="I29" s="58" t="n">
        <x:v>500000</x:v>
      </x:c>
      <x:c r="J29" s="55" t="n">
        <x:v>0.3</x:v>
      </x:c>
      <x:c r="K29" s="58" t="n">
        <x:f>G29*I29</x:f>
        <x:v>0</x:v>
      </x:c>
      <x:c r="L29" s="58" t="n">
        <x:f>K29*J29</x:f>
        <x:v>0</x:v>
      </x:c>
      <x:c r="M29" s="58" t="n">
        <x:f>K29-L29</x:f>
        <x:v>0</x:v>
      </x:c>
      <x:c r="N29" s="61" t="n">
        <x:f>K29/F29</x:f>
        <x:v>0</x:v>
      </x:c>
      <x:c r="O29" s="52" t="str">
        <x:v>accessible shuttles; temporary ramps and staffed assistance</x:v>
      </x:c>
      <x:c r="P29" s="52" t="str">
        <x:v>ADA ramps; tactile guidance; accessible first/last-mile network</x:v>
      </x:c>
      <x:c r="Q29" s="52" t="n">
        <x:v>15</x:v>
      </x:c>
      <x:c r="R29" s="52" t="str">
        <x:v>engineering_assumption</x:v>
      </x:c>
      <x:c r="S29" s="52" t="str">
        <x:v>fta-wc26</x:v>
      </x:c>
      <x:c r="T29" s="52" t="str">
        <x:v>https://www.transit.dot.gov/funding/apportionments/fta-world-cup-funding-apportionment-table</x:v>
      </x:c>
    </x:row>
    <x:row r="30">
      <x:c r="A30" s="57" t="n">
        <x:v>2</x:v>
      </x:c>
      <x:c r="B30" s="57" t="str">
        <x:v>boston</x:v>
      </x:c>
      <x:c r="C30" s="57" t="str">
        <x:v>Boston</x:v>
      </x:c>
      <x:c r="D30" s="57" t="str">
        <x:v>reserve</x:v>
      </x:c>
      <x:c r="E30" s="57" t="str">
        <x:v>Unassigned program reserve</x:v>
      </x:c>
      <x:c r="F30" s="59" t="n">
        <x:v>8671598</x:v>
      </x:c>
      <x:c r="G30" s="57" t="n">
        <x:v>1</x:v>
      </x:c>
      <x:c r="H30" s="57" t="str">
        <x:v>residual</x:v>
      </x:c>
      <x:c r="I30" s="59"/>
      <x:c r="J30" s="60" t="n">
        <x:v>0</x:v>
      </x:c>
      <x:c r="K30" s="59" t="n">
        <x:f>F30-SUM(K18:K29)</x:f>
        <x:v>11598</x:v>
      </x:c>
      <x:c r="L30" s="59" t="n">
        <x:v>0</x:v>
      </x:c>
      <x:c r="M30" s="59" t="n">
        <x:v>0</x:v>
      </x:c>
      <x:c r="N30" s="62" t="n">
        <x:f>K30/F30</x:f>
        <x:v>0.0013374697489436202</x:v>
      </x:c>
      <x:c r="O30" s="57" t="str">
        <x:v>Not committed in this demonstration model</x:v>
      </x:c>
      <x:c r="P30" s="57" t="str">
        <x:v>Release only after engineering, operations and contingency review</x:v>
      </x:c>
      <x:c r="Q30" s="57" t="n">
        <x:v>0</x:v>
      </x:c>
      <x:c r="R30" s="57" t="str">
        <x:v>formula_residual</x:v>
      </x:c>
      <x:c r="S30" s="57" t="str">
        <x:v>fta-wc26</x:v>
      </x:c>
      <x:c r="T30" s="57" t="str">
        <x:v>https://www.transit.dot.gov/funding/apportionments/fta-world-cup-funding-apportionment-table</x:v>
      </x:c>
    </x:row>
    <x:row r="31">
      <x:c r="A31" s="52" t="n">
        <x:v>3</x:v>
      </x:c>
      <x:c r="B31" s="52" t="str">
        <x:v>dallas</x:v>
      </x:c>
      <x:c r="C31" s="52" t="str">
        <x:v>Dallas</x:v>
      </x:c>
      <x:c r="D31" s="52" t="str">
        <x:v>service</x:v>
      </x:c>
      <x:c r="E31" s="52" t="str">
        <x:v>Extra transit service</x:v>
      </x:c>
      <x:c r="F31" s="58" t="n">
        <x:v>10033037</x:v>
      </x:c>
      <x:c r="G31" s="52" t="n">
        <x:v>4</x:v>
      </x:c>
      <x:c r="H31" s="52" t="str">
        <x:v>2,500 vehicle-hours</x:v>
      </x:c>
      <x:c r="I31" s="58" t="n">
        <x:v>550000</x:v>
      </x:c>
      <x:c r="J31" s="55" t="n">
        <x:v>0.8</x:v>
      </x:c>
      <x:c r="K31" s="58" t="n">
        <x:f>G31*I31</x:f>
        <x:v>2200000</x:v>
      </x:c>
      <x:c r="L31" s="58" t="n">
        <x:f>K31*J31</x:f>
        <x:v>1760000</x:v>
      </x:c>
      <x:c r="M31" s="58" t="n">
        <x:f>K31-L31</x:f>
        <x:v>440000</x:v>
      </x:c>
      <x:c r="N31" s="61" t="n">
        <x:f>K31/F31</x:f>
        <x:v>0.21927557926876975</x:v>
      </x:c>
      <x:c r="O31" s="52" t="str">
        <x:v>extra rail/bus vehicle-hours; standby operators; event timetable</x:v>
      </x:c>
      <x:c r="P31" s="52" t="str">
        <x:v>recurring major-event service plan; fleet and stabling readiness</x:v>
      </x:c>
      <x:c r="Q31" s="52" t="n">
        <x:v>1</x:v>
      </x:c>
      <x:c r="R31" s="52" t="str">
        <x:v>engineering_assumption</x:v>
      </x:c>
      <x:c r="S31" s="52" t="str">
        <x:v>fta-wc26</x:v>
      </x:c>
      <x:c r="T31" s="52" t="str">
        <x:v>https://www.transit.dot.gov/funding/apportionments/fta-world-cup-funding-apportionment-table</x:v>
      </x:c>
    </x:row>
    <x:row r="32">
      <x:c r="A32" s="52" t="n">
        <x:v>3</x:v>
      </x:c>
      <x:c r="B32" s="52" t="str">
        <x:v>dallas</x:v>
      </x:c>
      <x:c r="C32" s="52" t="str">
        <x:v>Dallas</x:v>
      </x:c>
      <x:c r="D32" s="52" t="str">
        <x:v>buslane</x:v>
      </x:c>
      <x:c r="E32" s="52" t="str">
        <x:v>Transit-priority lanes</x:v>
      </x:c>
      <x:c r="F32" s="58" t="n">
        <x:v>10033037</x:v>
      </x:c>
      <x:c r="G32" s="52" t="n">
        <x:v>4</x:v>
      </x:c>
      <x:c r="H32" s="52" t="str">
        <x:v>2 lane-miles</x:v>
      </x:c>
      <x:c r="I32" s="58" t="n">
        <x:v>360000</x:v>
      </x:c>
      <x:c r="J32" s="55" t="n">
        <x:v>0.45</x:v>
      </x:c>
      <x:c r="K32" s="58" t="n">
        <x:f>G32*I32</x:f>
        <x:v>1440000</x:v>
      </x:c>
      <x:c r="L32" s="58" t="n">
        <x:f>K32*J32</x:f>
        <x:v>648000</x:v>
      </x:c>
      <x:c r="M32" s="58" t="n">
        <x:f>K32-L32</x:f>
        <x:v>792000</x:v>
      </x:c>
      <x:c r="N32" s="61" t="n">
        <x:f>K32/F32</x:f>
        <x:v>0.14352583370319474</x:v>
      </x:c>
      <x:c r="O32" s="52" t="str">
        <x:v>cone- and paint-defined bus lane with enforcement</x:v>
      </x:c>
      <x:c r="P32" s="52" t="str">
        <x:v>dedicated or peak-period transit-priority lane</x:v>
      </x:c>
      <x:c r="Q32" s="52" t="n">
        <x:v>10</x:v>
      </x:c>
      <x:c r="R32" s="52" t="str">
        <x:v>engineering_assumption</x:v>
      </x:c>
      <x:c r="S32" s="52" t="str">
        <x:v>fta-wc26</x:v>
      </x:c>
      <x:c r="T32" s="52" t="str">
        <x:v>https://www.transit.dot.gov/funding/apportionments/fta-world-cup-funding-apportionment-table</x:v>
      </x:c>
    </x:row>
    <x:row r="33">
      <x:c r="A33" s="52" t="n">
        <x:v>3</x:v>
      </x:c>
      <x:c r="B33" s="52" t="str">
        <x:v>dallas</x:v>
      </x:c>
      <x:c r="C33" s="52" t="str">
        <x:v>Dallas</x:v>
      </x:c>
      <x:c r="D33" s="52" t="str">
        <x:v>signals</x:v>
      </x:c>
      <x:c r="E33" s="52" t="str">
        <x:v>Signal timing plans</x:v>
      </x:c>
      <x:c r="F33" s="58" t="n">
        <x:v>10033037</x:v>
      </x:c>
      <x:c r="G33" s="52" t="n">
        <x:v>4</x:v>
      </x:c>
      <x:c r="H33" s="52" t="str">
        <x:v>20 intersections</x:v>
      </x:c>
      <x:c r="I33" s="58" t="n">
        <x:v>90000</x:v>
      </x:c>
      <x:c r="J33" s="55" t="n">
        <x:v>0.25</x:v>
      </x:c>
      <x:c r="K33" s="58" t="n">
        <x:f>G33*I33</x:f>
        <x:v>360000</x:v>
      </x:c>
      <x:c r="L33" s="58" t="n">
        <x:f>K33*J33</x:f>
        <x:v>90000</x:v>
      </x:c>
      <x:c r="M33" s="58" t="n">
        <x:f>K33-L33</x:f>
        <x:v>270000</x:v>
      </x:c>
      <x:c r="N33" s="61" t="n">
        <x:f>K33/F33</x:f>
        <x:v>0.035881458425798686</x:v>
      </x:c>
      <x:c r="O33" s="52" t="str">
        <x:v>police/manual traffic control and temporary timing plan</x:v>
      </x:c>
      <x:c r="P33" s="52" t="str">
        <x:v>adaptive controllers and transit signal priority</x:v>
      </x:c>
      <x:c r="Q33" s="52" t="n">
        <x:v>10</x:v>
      </x:c>
      <x:c r="R33" s="52" t="str">
        <x:v>engineering_assumption</x:v>
      </x:c>
      <x:c r="S33" s="52" t="str">
        <x:v>fta-wc26</x:v>
      </x:c>
      <x:c r="T33" s="52" t="str">
        <x:v>https://www.transit.dot.gov/funding/apportionments/fta-world-cup-funding-apportionment-table</x:v>
      </x:c>
    </x:row>
    <x:row r="34">
      <x:c r="A34" s="52" t="n">
        <x:v>3</x:v>
      </x:c>
      <x:c r="B34" s="52" t="str">
        <x:v>dallas</x:v>
      </x:c>
      <x:c r="C34" s="52" t="str">
        <x:v>Dallas</x:v>
      </x:c>
      <x:c r="D34" s="52" t="str">
        <x:v>hub</x:v>
      </x:c>
      <x:c r="E34" s="52" t="str">
        <x:v>Hub-to-stadium shuttle package</x:v>
      </x:c>
      <x:c r="F34" s="58" t="n">
        <x:v>10033037</x:v>
      </x:c>
      <x:c r="G34" s="52" t="n">
        <x:v>3</x:v>
      </x:c>
      <x:c r="H34" s="52" t="str">
        <x:v>1 hub package</x:v>
      </x:c>
      <x:c r="I34" s="58" t="n">
        <x:v>750000</x:v>
      </x:c>
      <x:c r="J34" s="55" t="n">
        <x:v>0.4</x:v>
      </x:c>
      <x:c r="K34" s="58" t="n">
        <x:f>G34*I34</x:f>
        <x:v>2250000</x:v>
      </x:c>
      <x:c r="L34" s="58" t="n">
        <x:f>K34*J34</x:f>
        <x:v>900000</x:v>
      </x:c>
      <x:c r="M34" s="58" t="n">
        <x:f>K34-L34</x:f>
        <x:v>1350000</x:v>
      </x:c>
      <x:c r="N34" s="61" t="n">
        <x:f>K34/F34</x:f>
        <x:v>0.2242591151612418</x:v>
      </x:c>
      <x:c r="O34" s="52" t="str">
        <x:v>pop-up shuttle zone; temporary shelters and dispatch</x:v>
      </x:c>
      <x:c r="P34" s="52" t="str">
        <x:v>permanent multimodal mobility hub</x:v>
      </x:c>
      <x:c r="Q34" s="52" t="n">
        <x:v>15</x:v>
      </x:c>
      <x:c r="R34" s="52" t="str">
        <x:v>engineering_assumption</x:v>
      </x:c>
      <x:c r="S34" s="52" t="str">
        <x:v>fta-wc26</x:v>
      </x:c>
      <x:c r="T34" s="52" t="str">
        <x:v>https://www.transit.dot.gov/funding/apportionments/fta-world-cup-funding-apportionment-table</x:v>
      </x:c>
    </x:row>
    <x:row r="35">
      <x:c r="A35" s="52" t="n">
        <x:v>3</x:v>
      </x:c>
      <x:c r="B35" s="52" t="str">
        <x:v>dallas</x:v>
      </x:c>
      <x:c r="C35" s="52" t="str">
        <x:v>Dallas</x:v>
      </x:c>
      <x:c r="D35" s="52" t="str">
        <x:v>parkride</x:v>
      </x:c>
      <x:c r="E35" s="52" t="str">
        <x:v>Park-and-ride package</x:v>
      </x:c>
      <x:c r="F35" s="58" t="n">
        <x:v>10033037</x:v>
      </x:c>
      <x:c r="G35" s="52" t="n">
        <x:v>2</x:v>
      </x:c>
      <x:c r="H35" s="52" t="str">
        <x:v>500 spaces</x:v>
      </x:c>
      <x:c r="I35" s="58" t="n">
        <x:v>450000</x:v>
      </x:c>
      <x:c r="J35" s="55" t="n">
        <x:v>0.5</x:v>
      </x:c>
      <x:c r="K35" s="58" t="n">
        <x:f>G35*I35</x:f>
        <x:v>900000</x:v>
      </x:c>
      <x:c r="L35" s="58" t="n">
        <x:f>K35*J35</x:f>
        <x:v>450000</x:v>
      </x:c>
      <x:c r="M35" s="58" t="n">
        <x:f>K35-L35</x:f>
        <x:v>450000</x:v>
      </x:c>
      <x:c r="N35" s="61" t="n">
        <x:f>K35/F35</x:f>
        <x:v>0.08970364606449673</x:v>
      </x:c>
      <x:c r="O35" s="52" t="str">
        <x:v>leased intercept lots and temporary signing</x:v>
      </x:c>
      <x:c r="P35" s="52" t="str">
        <x:v>permanent park-and-ride with charging and transit access</x:v>
      </x:c>
      <x:c r="Q35" s="52" t="n">
        <x:v>5</x:v>
      </x:c>
      <x:c r="R35" s="52" t="str">
        <x:v>engineering_assumption</x:v>
      </x:c>
      <x:c r="S35" s="52" t="str">
        <x:v>fta-wc26</x:v>
      </x:c>
      <x:c r="T35" s="52" t="str">
        <x:v>https://www.transit.dot.gov/funding/apportionments/fta-world-cup-funding-apportionment-table</x:v>
      </x:c>
    </x:row>
    <x:row r="36">
      <x:c r="A36" s="52" t="n">
        <x:v>3</x:v>
      </x:c>
      <x:c r="B36" s="52" t="str">
        <x:v>dallas</x:v>
      </x:c>
      <x:c r="C36" s="52" t="str">
        <x:v>Dallas</x:v>
      </x:c>
      <x:c r="D36" s="52" t="str">
        <x:v>ped</x:v>
      </x:c>
      <x:c r="E36" s="52" t="str">
        <x:v>Protected pedestrian corridor</x:v>
      </x:c>
      <x:c r="F36" s="58" t="n">
        <x:v>10033037</x:v>
      </x:c>
      <x:c r="G36" s="52" t="n">
        <x:v>0</x:v>
      </x:c>
      <x:c r="H36" s="52" t="str">
        <x:v>1 tactical mile</x:v>
      </x:c>
      <x:c r="I36" s="58" t="n">
        <x:v>600000</x:v>
      </x:c>
      <x:c r="J36" s="55" t="n">
        <x:v>0.35</x:v>
      </x:c>
      <x:c r="K36" s="58" t="n">
        <x:f>G36*I36</x:f>
        <x:v>0</x:v>
      </x:c>
      <x:c r="L36" s="58" t="n">
        <x:f>K36*J36</x:f>
        <x:v>0</x:v>
      </x:c>
      <x:c r="M36" s="58" t="n">
        <x:f>K36-L36</x:f>
        <x:v>0</x:v>
      </x:c>
      <x:c r="N36" s="61" t="n">
        <x:f>K36/F36</x:f>
        <x:v>0</x:v>
      </x:c>
      <x:c r="O36" s="52" t="str">
        <x:v>barricaded protected corridor; marshals and lighting</x:v>
      </x:c>
      <x:c r="P36" s="52" t="str">
        <x:v>widened sidewalk; lighting; drainage and separation</x:v>
      </x:c>
      <x:c r="Q36" s="52" t="n">
        <x:v>15</x:v>
      </x:c>
      <x:c r="R36" s="52" t="str">
        <x:v>engineering_assumption</x:v>
      </x:c>
      <x:c r="S36" s="52" t="str">
        <x:v>fta-wc26</x:v>
      </x:c>
      <x:c r="T36" s="52" t="str">
        <x:v>https://www.transit.dot.gov/funding/apportionments/fta-world-cup-funding-apportionment-table</x:v>
      </x:c>
    </x:row>
    <x:row r="37">
      <x:c r="A37" s="52" t="n">
        <x:v>3</x:v>
      </x:c>
      <x:c r="B37" s="52" t="str">
        <x:v>dallas</x:v>
      </x:c>
      <x:c r="C37" s="52" t="str">
        <x:v>Dallas</x:v>
      </x:c>
      <x:c r="D37" s="52" t="str">
        <x:v>bike</x:v>
      </x:c>
      <x:c r="E37" s="52" t="str">
        <x:v>Protected bicycle access</x:v>
      </x:c>
      <x:c r="F37" s="58" t="n">
        <x:v>10033037</x:v>
      </x:c>
      <x:c r="G37" s="52" t="n">
        <x:v>0</x:v>
      </x:c>
      <x:c r="H37" s="52" t="str">
        <x:v>2 route-miles + parking</x:v>
      </x:c>
      <x:c r="I37" s="58" t="n">
        <x:v>650000</x:v>
      </x:c>
      <x:c r="J37" s="55" t="n">
        <x:v>0.35</x:v>
      </x:c>
      <x:c r="K37" s="58" t="n">
        <x:f>G37*I37</x:f>
        <x:v>0</x:v>
      </x:c>
      <x:c r="L37" s="58" t="n">
        <x:f>K37*J37</x:f>
        <x:v>0</x:v>
      </x:c>
      <x:c r="M37" s="58" t="n">
        <x:f>K37-L37</x:f>
        <x:v>0</x:v>
      </x:c>
      <x:c r="N37" s="61" t="n">
        <x:f>K37/F37</x:f>
        <x:v>0</x:v>
      </x:c>
      <x:c r="O37" s="52" t="str">
        <x:v>pop-up protected lane and attended bike valet</x:v>
      </x:c>
      <x:c r="P37" s="52" t="str">
        <x:v>protected bikeway and secure long-term parking</x:v>
      </x:c>
      <x:c r="Q37" s="52" t="n">
        <x:v>15</x:v>
      </x:c>
      <x:c r="R37" s="52" t="str">
        <x:v>engineering_assumption</x:v>
      </x:c>
      <x:c r="S37" s="52" t="str">
        <x:v>fta-wc26</x:v>
      </x:c>
      <x:c r="T37" s="52" t="str">
        <x:v>https://www.transit.dot.gov/funding/apportionments/fta-world-cup-funding-apportionment-table</x:v>
      </x:c>
    </x:row>
    <x:row r="38">
      <x:c r="A38" s="52" t="n">
        <x:v>3</x:v>
      </x:c>
      <x:c r="B38" s="52" t="str">
        <x:v>dallas</x:v>
      </x:c>
      <x:c r="C38" s="52" t="str">
        <x:v>Dallas</x:v>
      </x:c>
      <x:c r="D38" s="52" t="str">
        <x:v>tnc</x:v>
      </x:c>
      <x:c r="E38" s="52" t="str">
        <x:v>Managed rideshare hub</x:v>
      </x:c>
      <x:c r="F38" s="58" t="n">
        <x:v>10033037</x:v>
      </x:c>
      <x:c r="G38" s="52" t="n">
        <x:v>3</x:v>
      </x:c>
      <x:c r="H38" s="52" t="str">
        <x:v>1 staffed hub</x:v>
      </x:c>
      <x:c r="I38" s="58" t="n">
        <x:v>400000</x:v>
      </x:c>
      <x:c r="J38" s="55" t="n">
        <x:v>0.5</x:v>
      </x:c>
      <x:c r="K38" s="58" t="n">
        <x:f>G38*I38</x:f>
        <x:v>1200000</x:v>
      </x:c>
      <x:c r="L38" s="58" t="n">
        <x:f>K38*J38</x:f>
        <x:v>600000</x:v>
      </x:c>
      <x:c r="M38" s="58" t="n">
        <x:f>K38-L38</x:f>
        <x:v>600000</x:v>
      </x:c>
      <x:c r="N38" s="61" t="n">
        <x:f>K38/F38</x:f>
        <x:v>0.11960486141932897</x:v>
      </x:c>
      <x:c r="O38" s="52" t="str">
        <x:v>staffed geofenced pickup with temporary lane control</x:v>
      </x:c>
      <x:c r="P38" s="52" t="str">
        <x:v>off-street rideshare hub with accessible bays</x:v>
      </x:c>
      <x:c r="Q38" s="52" t="n">
        <x:v>10</x:v>
      </x:c>
      <x:c r="R38" s="52" t="str">
        <x:v>engineering_assumption</x:v>
      </x:c>
      <x:c r="S38" s="52" t="str">
        <x:v>fta-wc26</x:v>
      </x:c>
      <x:c r="T38" s="52" t="str">
        <x:v>https://www.transit.dot.gov/funding/apportionments/fta-world-cup-funding-apportionment-table</x:v>
      </x:c>
    </x:row>
    <x:row r="39">
      <x:c r="A39" s="52" t="n">
        <x:v>3</x:v>
      </x:c>
      <x:c r="B39" s="52" t="str">
        <x:v>dallas</x:v>
      </x:c>
      <x:c r="C39" s="52" t="str">
        <x:v>Dallas</x:v>
      </x:c>
      <x:c r="D39" s="52" t="str">
        <x:v>wayfinding</x:v>
      </x:c>
      <x:c r="E39" s="52" t="str">
        <x:v>Multilingual wayfinding</x:v>
      </x:c>
      <x:c r="F39" s="58" t="n">
        <x:v>10033037</x:v>
      </x:c>
      <x:c r="G39" s="52" t="n">
        <x:v>0</x:v>
      </x:c>
      <x:c r="H39" s="52" t="str">
        <x:v>city package</x:v>
      </x:c>
      <x:c r="I39" s="58" t="n">
        <x:v>300000</x:v>
      </x:c>
      <x:c r="J39" s="55" t="n">
        <x:v>0.45</x:v>
      </x:c>
      <x:c r="K39" s="58" t="n">
        <x:f>G39*I39</x:f>
        <x:v>0</x:v>
      </x:c>
      <x:c r="L39" s="58" t="n">
        <x:f>K39*J39</x:f>
        <x:v>0</x:v>
      </x:c>
      <x:c r="M39" s="58" t="n">
        <x:f>K39-L39</x:f>
        <x:v>0</x:v>
      </x:c>
      <x:c r="N39" s="61" t="n">
        <x:f>K39/F39</x:f>
        <x:v>0</x:v>
      </x:c>
      <x:c r="O39" s="52" t="str">
        <x:v>portable signs; digital messages; multilingual ambassadors</x:v>
      </x:c>
      <x:c r="P39" s="52" t="str">
        <x:v>fixed multilingual physical and digital wayfinding</x:v>
      </x:c>
      <x:c r="Q39" s="52" t="n">
        <x:v>7</x:v>
      </x:c>
      <x:c r="R39" s="52" t="str">
        <x:v>engineering_assumption</x:v>
      </x:c>
      <x:c r="S39" s="52" t="str">
        <x:v>fta-wc26</x:v>
      </x:c>
      <x:c r="T39" s="52" t="str">
        <x:v>https://www.transit.dot.gov/funding/apportionments/fta-world-cup-funding-apportionment-table</x:v>
      </x:c>
    </x:row>
    <x:row r="40">
      <x:c r="A40" s="52" t="n">
        <x:v>3</x:v>
      </x:c>
      <x:c r="B40" s="52" t="str">
        <x:v>dallas</x:v>
      </x:c>
      <x:c r="C40" s="52" t="str">
        <x:v>Dallas</x:v>
      </x:c>
      <x:c r="D40" s="52" t="str">
        <x:v>station</x:v>
      </x:c>
      <x:c r="E40" s="52" t="str">
        <x:v>Station-capacity package</x:v>
      </x:c>
      <x:c r="F40" s="58" t="n">
        <x:v>10033037</x:v>
      </x:c>
      <x:c r="G40" s="52" t="n">
        <x:v>0</x:v>
      </x:c>
      <x:c r="H40" s="52" t="str">
        <x:v>1 station</x:v>
      </x:c>
      <x:c r="I40" s="58" t="n">
        <x:v>1250000</x:v>
      </x:c>
      <x:c r="J40" s="55" t="n">
        <x:v>0.2</x:v>
      </x:c>
      <x:c r="K40" s="58" t="n">
        <x:f>G40*I40</x:f>
        <x:v>0</x:v>
      </x:c>
      <x:c r="L40" s="58" t="n">
        <x:f>K40*J40</x:f>
        <x:v>0</x:v>
      </x:c>
      <x:c r="M40" s="58" t="n">
        <x:f>K40-L40</x:f>
        <x:v>0</x:v>
      </x:c>
      <x:c r="N40" s="61" t="n">
        <x:f>K40/F40</x:f>
        <x:v>0</x:v>
      </x:c>
      <x:c r="O40" s="52" t="str">
        <x:v>temporary gates; queue barriers; portable fare equipment</x:v>
      </x:c>
      <x:c r="P40" s="52" t="str">
        <x:v>platform, entry and circulation expansion</x:v>
      </x:c>
      <x:c r="Q40" s="52" t="n">
        <x:v>25</x:v>
      </x:c>
      <x:c r="R40" s="52" t="str">
        <x:v>engineering_assumption</x:v>
      </x:c>
      <x:c r="S40" s="52" t="str">
        <x:v>fta-wc26</x:v>
      </x:c>
      <x:c r="T40" s="52" t="str">
        <x:v>https://www.transit.dot.gov/funding/apportionments/fta-world-cup-funding-apportionment-table</x:v>
      </x:c>
    </x:row>
    <x:row r="41">
      <x:c r="A41" s="52" t="n">
        <x:v>3</x:v>
      </x:c>
      <x:c r="B41" s="52" t="str">
        <x:v>dallas</x:v>
      </x:c>
      <x:c r="C41" s="52" t="str">
        <x:v>Dallas</x:v>
      </x:c>
      <x:c r="D41" s="52" t="str">
        <x:v>toc</x:v>
      </x:c>
      <x:c r="E41" s="52" t="str">
        <x:v>Integrated traffic operations</x:v>
      </x:c>
      <x:c r="F41" s="58" t="n">
        <x:v>10033037</x:v>
      </x:c>
      <x:c r="G41" s="52" t="n">
        <x:v>2</x:v>
      </x:c>
      <x:c r="H41" s="52" t="str">
        <x:v>city package</x:v>
      </x:c>
      <x:c r="I41" s="58" t="n">
        <x:v>750000</x:v>
      </x:c>
      <x:c r="J41" s="55" t="n">
        <x:v>0.25</x:v>
      </x:c>
      <x:c r="K41" s="58" t="n">
        <x:f>G41*I41</x:f>
        <x:v>1500000</x:v>
      </x:c>
      <x:c r="L41" s="58" t="n">
        <x:f>K41*J41</x:f>
        <x:v>375000</x:v>
      </x:c>
      <x:c r="M41" s="58" t="n">
        <x:f>K41-L41</x:f>
        <x:v>1125000</x:v>
      </x:c>
      <x:c r="N41" s="61" t="n">
        <x:f>K41/F41</x:f>
        <x:v>0.1495060767741612</x:v>
      </x:c>
      <x:c r="O41" s="52" t="str">
        <x:v>unified incident command and temporary sensor feeds</x:v>
      </x:c>
      <x:c r="P41" s="52" t="str">
        <x:v>integrated operations center and adaptive dispatch</x:v>
      </x:c>
      <x:c r="Q41" s="52" t="n">
        <x:v>10</x:v>
      </x:c>
      <x:c r="R41" s="52" t="str">
        <x:v>engineering_assumption</x:v>
      </x:c>
      <x:c r="S41" s="52" t="str">
        <x:v>fta-wc26</x:v>
      </x:c>
      <x:c r="T41" s="52" t="str">
        <x:v>https://www.transit.dot.gov/funding/apportionments/fta-world-cup-funding-apportionment-table</x:v>
      </x:c>
    </x:row>
    <x:row r="42">
      <x:c r="A42" s="52" t="n">
        <x:v>3</x:v>
      </x:c>
      <x:c r="B42" s="52" t="str">
        <x:v>dallas</x:v>
      </x:c>
      <x:c r="C42" s="52" t="str">
        <x:v>Dallas</x:v>
      </x:c>
      <x:c r="D42" s="52" t="str">
        <x:v>access</x:v>
      </x:c>
      <x:c r="E42" s="52" t="str">
        <x:v>ADA/microtransit access</x:v>
      </x:c>
      <x:c r="F42" s="58" t="n">
        <x:v>10033037</x:v>
      </x:c>
      <x:c r="G42" s="52" t="n">
        <x:v>0</x:v>
      </x:c>
      <x:c r="H42" s="52" t="str">
        <x:v>city package</x:v>
      </x:c>
      <x:c r="I42" s="58" t="n">
        <x:v>500000</x:v>
      </x:c>
      <x:c r="J42" s="55" t="n">
        <x:v>0.3</x:v>
      </x:c>
      <x:c r="K42" s="58" t="n">
        <x:f>G42*I42</x:f>
        <x:v>0</x:v>
      </x:c>
      <x:c r="L42" s="58" t="n">
        <x:f>K42*J42</x:f>
        <x:v>0</x:v>
      </x:c>
      <x:c r="M42" s="58" t="n">
        <x:f>K42-L42</x:f>
        <x:v>0</x:v>
      </x:c>
      <x:c r="N42" s="61" t="n">
        <x:f>K42/F42</x:f>
        <x:v>0</x:v>
      </x:c>
      <x:c r="O42" s="52" t="str">
        <x:v>accessible shuttles; temporary ramps and staffed assistance</x:v>
      </x:c>
      <x:c r="P42" s="52" t="str">
        <x:v>ADA ramps; tactile guidance; accessible first/last-mile network</x:v>
      </x:c>
      <x:c r="Q42" s="52" t="n">
        <x:v>15</x:v>
      </x:c>
      <x:c r="R42" s="52" t="str">
        <x:v>engineering_assumption</x:v>
      </x:c>
      <x:c r="S42" s="52" t="str">
        <x:v>fta-wc26</x:v>
      </x:c>
      <x:c r="T42" s="52" t="str">
        <x:v>https://www.transit.dot.gov/funding/apportionments/fta-world-cup-funding-apportionment-table</x:v>
      </x:c>
    </x:row>
    <x:row r="43">
      <x:c r="A43" s="57" t="n">
        <x:v>3</x:v>
      </x:c>
      <x:c r="B43" s="57" t="str">
        <x:v>dallas</x:v>
      </x:c>
      <x:c r="C43" s="57" t="str">
        <x:v>Dallas</x:v>
      </x:c>
      <x:c r="D43" s="57" t="str">
        <x:v>reserve</x:v>
      </x:c>
      <x:c r="E43" s="57" t="str">
        <x:v>Unassigned program reserve</x:v>
      </x:c>
      <x:c r="F43" s="59" t="n">
        <x:v>10033037</x:v>
      </x:c>
      <x:c r="G43" s="57" t="n">
        <x:v>1</x:v>
      </x:c>
      <x:c r="H43" s="57" t="str">
        <x:v>residual</x:v>
      </x:c>
      <x:c r="I43" s="59"/>
      <x:c r="J43" s="60" t="n">
        <x:v>0</x:v>
      </x:c>
      <x:c r="K43" s="59" t="n">
        <x:f>F43-SUM(K31:K42)</x:f>
        <x:v>183037</x:v>
      </x:c>
      <x:c r="L43" s="59" t="n">
        <x:v>0</x:v>
      </x:c>
      <x:c r="M43" s="59" t="n">
        <x:v>0</x:v>
      </x:c>
      <x:c r="N43" s="62" t="n">
        <x:f>K43/F43</x:f>
        <x:v>0.018243429183008097</x:v>
      </x:c>
      <x:c r="O43" s="57" t="str">
        <x:v>Not committed in this demonstration model</x:v>
      </x:c>
      <x:c r="P43" s="57" t="str">
        <x:v>Release only after engineering, operations and contingency review</x:v>
      </x:c>
      <x:c r="Q43" s="57" t="n">
        <x:v>0</x:v>
      </x:c>
      <x:c r="R43" s="57" t="str">
        <x:v>formula_residual</x:v>
      </x:c>
      <x:c r="S43" s="57" t="str">
        <x:v>fta-wc26</x:v>
      </x:c>
      <x:c r="T43" s="57" t="str">
        <x:v>https://www.transit.dot.gov/funding/apportionments/fta-world-cup-funding-apportionment-table</x:v>
      </x:c>
    </x:row>
    <x:row r="44">
      <x:c r="A44" s="52" t="n">
        <x:v>4</x:v>
      </x:c>
      <x:c r="B44" s="52" t="str">
        <x:v>houston</x:v>
      </x:c>
      <x:c r="C44" s="52" t="str">
        <x:v>Houston</x:v>
      </x:c>
      <x:c r="D44" s="52" t="str">
        <x:v>service</x:v>
      </x:c>
      <x:c r="E44" s="52" t="str">
        <x:v>Extra transit service</x:v>
      </x:c>
      <x:c r="F44" s="58" t="n">
        <x:v>9092387</x:v>
      </x:c>
      <x:c r="G44" s="52" t="n">
        <x:v>2</x:v>
      </x:c>
      <x:c r="H44" s="52" t="str">
        <x:v>2,500 vehicle-hours</x:v>
      </x:c>
      <x:c r="I44" s="58" t="n">
        <x:v>550000</x:v>
      </x:c>
      <x:c r="J44" s="55" t="n">
        <x:v>0.8</x:v>
      </x:c>
      <x:c r="K44" s="58" t="n">
        <x:f>G44*I44</x:f>
        <x:v>1100000</x:v>
      </x:c>
      <x:c r="L44" s="58" t="n">
        <x:f>K44*J44</x:f>
        <x:v>880000</x:v>
      </x:c>
      <x:c r="M44" s="58" t="n">
        <x:f>K44-L44</x:f>
        <x:v>220000</x:v>
      </x:c>
      <x:c r="N44" s="61" t="n">
        <x:f>K44/F44</x:f>
        <x:v>0.1209803322273898</x:v>
      </x:c>
      <x:c r="O44" s="52" t="str">
        <x:v>extra rail/bus vehicle-hours; standby operators; event timetable</x:v>
      </x:c>
      <x:c r="P44" s="52" t="str">
        <x:v>recurring major-event service plan; fleet and stabling readiness</x:v>
      </x:c>
      <x:c r="Q44" s="52" t="n">
        <x:v>1</x:v>
      </x:c>
      <x:c r="R44" s="52" t="str">
        <x:v>engineering_assumption</x:v>
      </x:c>
      <x:c r="S44" s="52" t="str">
        <x:v>fta-wc26</x:v>
      </x:c>
      <x:c r="T44" s="52" t="str">
        <x:v>https://www.transit.dot.gov/funding/apportionments/fta-world-cup-funding-apportionment-table</x:v>
      </x:c>
    </x:row>
    <x:row r="45">
      <x:c r="A45" s="52" t="n">
        <x:v>4</x:v>
      </x:c>
      <x:c r="B45" s="52" t="str">
        <x:v>houston</x:v>
      </x:c>
      <x:c r="C45" s="52" t="str">
        <x:v>Houston</x:v>
      </x:c>
      <x:c r="D45" s="52" t="str">
        <x:v>buslane</x:v>
      </x:c>
      <x:c r="E45" s="52" t="str">
        <x:v>Transit-priority lanes</x:v>
      </x:c>
      <x:c r="F45" s="58" t="n">
        <x:v>9092387</x:v>
      </x:c>
      <x:c r="G45" s="52" t="n">
        <x:v>4</x:v>
      </x:c>
      <x:c r="H45" s="52" t="str">
        <x:v>2 lane-miles</x:v>
      </x:c>
      <x:c r="I45" s="58" t="n">
        <x:v>360000</x:v>
      </x:c>
      <x:c r="J45" s="55" t="n">
        <x:v>0.45</x:v>
      </x:c>
      <x:c r="K45" s="58" t="n">
        <x:f>G45*I45</x:f>
        <x:v>1440000</x:v>
      </x:c>
      <x:c r="L45" s="58" t="n">
        <x:f>K45*J45</x:f>
        <x:v>648000</x:v>
      </x:c>
      <x:c r="M45" s="58" t="n">
        <x:f>K45-L45</x:f>
        <x:v>792000</x:v>
      </x:c>
      <x:c r="N45" s="61" t="n">
        <x:f>K45/F45</x:f>
        <x:v>0.15837425309767392</x:v>
      </x:c>
      <x:c r="O45" s="52" t="str">
        <x:v>cone- and paint-defined bus lane with enforcement</x:v>
      </x:c>
      <x:c r="P45" s="52" t="str">
        <x:v>dedicated or peak-period transit-priority lane</x:v>
      </x:c>
      <x:c r="Q45" s="52" t="n">
        <x:v>10</x:v>
      </x:c>
      <x:c r="R45" s="52" t="str">
        <x:v>engineering_assumption</x:v>
      </x:c>
      <x:c r="S45" s="52" t="str">
        <x:v>fta-wc26</x:v>
      </x:c>
      <x:c r="T45" s="52" t="str">
        <x:v>https://www.transit.dot.gov/funding/apportionments/fta-world-cup-funding-apportionment-table</x:v>
      </x:c>
    </x:row>
    <x:row r="46">
      <x:c r="A46" s="52" t="n">
        <x:v>4</x:v>
      </x:c>
      <x:c r="B46" s="52" t="str">
        <x:v>houston</x:v>
      </x:c>
      <x:c r="C46" s="52" t="str">
        <x:v>Houston</x:v>
      </x:c>
      <x:c r="D46" s="52" t="str">
        <x:v>signals</x:v>
      </x:c>
      <x:c r="E46" s="52" t="str">
        <x:v>Signal timing plans</x:v>
      </x:c>
      <x:c r="F46" s="58" t="n">
        <x:v>9092387</x:v>
      </x:c>
      <x:c r="G46" s="52" t="n">
        <x:v>4</x:v>
      </x:c>
      <x:c r="H46" s="52" t="str">
        <x:v>20 intersections</x:v>
      </x:c>
      <x:c r="I46" s="58" t="n">
        <x:v>90000</x:v>
      </x:c>
      <x:c r="J46" s="55" t="n">
        <x:v>0.25</x:v>
      </x:c>
      <x:c r="K46" s="58" t="n">
        <x:f>G46*I46</x:f>
        <x:v>360000</x:v>
      </x:c>
      <x:c r="L46" s="58" t="n">
        <x:f>K46*J46</x:f>
        <x:v>90000</x:v>
      </x:c>
      <x:c r="M46" s="58" t="n">
        <x:f>K46-L46</x:f>
        <x:v>270000</x:v>
      </x:c>
      <x:c r="N46" s="61" t="n">
        <x:f>K46/F46</x:f>
        <x:v>0.03959356327441848</x:v>
      </x:c>
      <x:c r="O46" s="52" t="str">
        <x:v>police/manual traffic control and temporary timing plan</x:v>
      </x:c>
      <x:c r="P46" s="52" t="str">
        <x:v>adaptive controllers and transit signal priority</x:v>
      </x:c>
      <x:c r="Q46" s="52" t="n">
        <x:v>10</x:v>
      </x:c>
      <x:c r="R46" s="52" t="str">
        <x:v>engineering_assumption</x:v>
      </x:c>
      <x:c r="S46" s="52" t="str">
        <x:v>fta-wc26</x:v>
      </x:c>
      <x:c r="T46" s="52" t="str">
        <x:v>https://www.transit.dot.gov/funding/apportionments/fta-world-cup-funding-apportionment-table</x:v>
      </x:c>
    </x:row>
    <x:row r="47">
      <x:c r="A47" s="52" t="n">
        <x:v>4</x:v>
      </x:c>
      <x:c r="B47" s="52" t="str">
        <x:v>houston</x:v>
      </x:c>
      <x:c r="C47" s="52" t="str">
        <x:v>Houston</x:v>
      </x:c>
      <x:c r="D47" s="52" t="str">
        <x:v>hub</x:v>
      </x:c>
      <x:c r="E47" s="52" t="str">
        <x:v>Hub-to-stadium shuttle package</x:v>
      </x:c>
      <x:c r="F47" s="58" t="n">
        <x:v>9092387</x:v>
      </x:c>
      <x:c r="G47" s="52" t="n">
        <x:v>2</x:v>
      </x:c>
      <x:c r="H47" s="52" t="str">
        <x:v>1 hub package</x:v>
      </x:c>
      <x:c r="I47" s="58" t="n">
        <x:v>750000</x:v>
      </x:c>
      <x:c r="J47" s="55" t="n">
        <x:v>0.4</x:v>
      </x:c>
      <x:c r="K47" s="58" t="n">
        <x:f>G47*I47</x:f>
        <x:v>1500000</x:v>
      </x:c>
      <x:c r="L47" s="58" t="n">
        <x:f>K47*J47</x:f>
        <x:v>600000</x:v>
      </x:c>
      <x:c r="M47" s="58" t="n">
        <x:f>K47-L47</x:f>
        <x:v>900000</x:v>
      </x:c>
      <x:c r="N47" s="61" t="n">
        <x:f>K47/F47</x:f>
        <x:v>0.164973180310077</x:v>
      </x:c>
      <x:c r="O47" s="52" t="str">
        <x:v>pop-up shuttle zone; temporary shelters and dispatch</x:v>
      </x:c>
      <x:c r="P47" s="52" t="str">
        <x:v>permanent multimodal mobility hub</x:v>
      </x:c>
      <x:c r="Q47" s="52" t="n">
        <x:v>15</x:v>
      </x:c>
      <x:c r="R47" s="52" t="str">
        <x:v>engineering_assumption</x:v>
      </x:c>
      <x:c r="S47" s="52" t="str">
        <x:v>fta-wc26</x:v>
      </x:c>
      <x:c r="T47" s="52" t="str">
        <x:v>https://www.transit.dot.gov/funding/apportionments/fta-world-cup-funding-apportionment-table</x:v>
      </x:c>
    </x:row>
    <x:row r="48">
      <x:c r="A48" s="52" t="n">
        <x:v>4</x:v>
      </x:c>
      <x:c r="B48" s="52" t="str">
        <x:v>houston</x:v>
      </x:c>
      <x:c r="C48" s="52" t="str">
        <x:v>Houston</x:v>
      </x:c>
      <x:c r="D48" s="52" t="str">
        <x:v>parkride</x:v>
      </x:c>
      <x:c r="E48" s="52" t="str">
        <x:v>Park-and-ride package</x:v>
      </x:c>
      <x:c r="F48" s="58" t="n">
        <x:v>9092387</x:v>
      </x:c>
      <x:c r="G48" s="52" t="n">
        <x:v>1</x:v>
      </x:c>
      <x:c r="H48" s="52" t="str">
        <x:v>500 spaces</x:v>
      </x:c>
      <x:c r="I48" s="58" t="n">
        <x:v>450000</x:v>
      </x:c>
      <x:c r="J48" s="55" t="n">
        <x:v>0.5</x:v>
      </x:c>
      <x:c r="K48" s="58" t="n">
        <x:f>G48*I48</x:f>
        <x:v>450000</x:v>
      </x:c>
      <x:c r="L48" s="58" t="n">
        <x:f>K48*J48</x:f>
        <x:v>225000</x:v>
      </x:c>
      <x:c r="M48" s="58" t="n">
        <x:f>K48-L48</x:f>
        <x:v>225000</x:v>
      </x:c>
      <x:c r="N48" s="61" t="n">
        <x:f>K48/F48</x:f>
        <x:v>0.049491954093023094</x:v>
      </x:c>
      <x:c r="O48" s="52" t="str">
        <x:v>leased intercept lots and temporary signing</x:v>
      </x:c>
      <x:c r="P48" s="52" t="str">
        <x:v>permanent park-and-ride with charging and transit access</x:v>
      </x:c>
      <x:c r="Q48" s="52" t="n">
        <x:v>5</x:v>
      </x:c>
      <x:c r="R48" s="52" t="str">
        <x:v>engineering_assumption</x:v>
      </x:c>
      <x:c r="S48" s="52" t="str">
        <x:v>fta-wc26</x:v>
      </x:c>
      <x:c r="T48" s="52" t="str">
        <x:v>https://www.transit.dot.gov/funding/apportionments/fta-world-cup-funding-apportionment-table</x:v>
      </x:c>
    </x:row>
    <x:row r="49">
      <x:c r="A49" s="52" t="n">
        <x:v>4</x:v>
      </x:c>
      <x:c r="B49" s="52" t="str">
        <x:v>houston</x:v>
      </x:c>
      <x:c r="C49" s="52" t="str">
        <x:v>Houston</x:v>
      </x:c>
      <x:c r="D49" s="52" t="str">
        <x:v>ped</x:v>
      </x:c>
      <x:c r="E49" s="52" t="str">
        <x:v>Protected pedestrian corridor</x:v>
      </x:c>
      <x:c r="F49" s="58" t="n">
        <x:v>9092387</x:v>
      </x:c>
      <x:c r="G49" s="52" t="n">
        <x:v>0</x:v>
      </x:c>
      <x:c r="H49" s="52" t="str">
        <x:v>1 tactical mile</x:v>
      </x:c>
      <x:c r="I49" s="58" t="n">
        <x:v>600000</x:v>
      </x:c>
      <x:c r="J49" s="55" t="n">
        <x:v>0.35</x:v>
      </x:c>
      <x:c r="K49" s="58" t="n">
        <x:f>G49*I49</x:f>
        <x:v>0</x:v>
      </x:c>
      <x:c r="L49" s="58" t="n">
        <x:f>K49*J49</x:f>
        <x:v>0</x:v>
      </x:c>
      <x:c r="M49" s="58" t="n">
        <x:f>K49-L49</x:f>
        <x:v>0</x:v>
      </x:c>
      <x:c r="N49" s="61" t="n">
        <x:f>K49/F49</x:f>
        <x:v>0</x:v>
      </x:c>
      <x:c r="O49" s="52" t="str">
        <x:v>barricaded protected corridor; marshals and lighting</x:v>
      </x:c>
      <x:c r="P49" s="52" t="str">
        <x:v>widened sidewalk; lighting; drainage and separation</x:v>
      </x:c>
      <x:c r="Q49" s="52" t="n">
        <x:v>15</x:v>
      </x:c>
      <x:c r="R49" s="52" t="str">
        <x:v>engineering_assumption</x:v>
      </x:c>
      <x:c r="S49" s="52" t="str">
        <x:v>fta-wc26</x:v>
      </x:c>
      <x:c r="T49" s="52" t="str">
        <x:v>https://www.transit.dot.gov/funding/apportionments/fta-world-cup-funding-apportionment-table</x:v>
      </x:c>
    </x:row>
    <x:row r="50">
      <x:c r="A50" s="52" t="n">
        <x:v>4</x:v>
      </x:c>
      <x:c r="B50" s="52" t="str">
        <x:v>houston</x:v>
      </x:c>
      <x:c r="C50" s="52" t="str">
        <x:v>Houston</x:v>
      </x:c>
      <x:c r="D50" s="52" t="str">
        <x:v>bike</x:v>
      </x:c>
      <x:c r="E50" s="52" t="str">
        <x:v>Protected bicycle access</x:v>
      </x:c>
      <x:c r="F50" s="58" t="n">
        <x:v>9092387</x:v>
      </x:c>
      <x:c r="G50" s="52" t="n">
        <x:v>0</x:v>
      </x:c>
      <x:c r="H50" s="52" t="str">
        <x:v>2 route-miles + parking</x:v>
      </x:c>
      <x:c r="I50" s="58" t="n">
        <x:v>650000</x:v>
      </x:c>
      <x:c r="J50" s="55" t="n">
        <x:v>0.35</x:v>
      </x:c>
      <x:c r="K50" s="58" t="n">
        <x:f>G50*I50</x:f>
        <x:v>0</x:v>
      </x:c>
      <x:c r="L50" s="58" t="n">
        <x:f>K50*J50</x:f>
        <x:v>0</x:v>
      </x:c>
      <x:c r="M50" s="58" t="n">
        <x:f>K50-L50</x:f>
        <x:v>0</x:v>
      </x:c>
      <x:c r="N50" s="61" t="n">
        <x:f>K50/F50</x:f>
        <x:v>0</x:v>
      </x:c>
      <x:c r="O50" s="52" t="str">
        <x:v>pop-up protected lane and attended bike valet</x:v>
      </x:c>
      <x:c r="P50" s="52" t="str">
        <x:v>protected bikeway and secure long-term parking</x:v>
      </x:c>
      <x:c r="Q50" s="52" t="n">
        <x:v>15</x:v>
      </x:c>
      <x:c r="R50" s="52" t="str">
        <x:v>engineering_assumption</x:v>
      </x:c>
      <x:c r="S50" s="52" t="str">
        <x:v>fta-wc26</x:v>
      </x:c>
      <x:c r="T50" s="52" t="str">
        <x:v>https://www.transit.dot.gov/funding/apportionments/fta-world-cup-funding-apportionment-table</x:v>
      </x:c>
    </x:row>
    <x:row r="51">
      <x:c r="A51" s="52" t="n">
        <x:v>4</x:v>
      </x:c>
      <x:c r="B51" s="52" t="str">
        <x:v>houston</x:v>
      </x:c>
      <x:c r="C51" s="52" t="str">
        <x:v>Houston</x:v>
      </x:c>
      <x:c r="D51" s="52" t="str">
        <x:v>tnc</x:v>
      </x:c>
      <x:c r="E51" s="52" t="str">
        <x:v>Managed rideshare hub</x:v>
      </x:c>
      <x:c r="F51" s="58" t="n">
        <x:v>9092387</x:v>
      </x:c>
      <x:c r="G51" s="52" t="n">
        <x:v>2</x:v>
      </x:c>
      <x:c r="H51" s="52" t="str">
        <x:v>1 staffed hub</x:v>
      </x:c>
      <x:c r="I51" s="58" t="n">
        <x:v>400000</x:v>
      </x:c>
      <x:c r="J51" s="55" t="n">
        <x:v>0.5</x:v>
      </x:c>
      <x:c r="K51" s="58" t="n">
        <x:f>G51*I51</x:f>
        <x:v>800000</x:v>
      </x:c>
      <x:c r="L51" s="58" t="n">
        <x:f>K51*J51</x:f>
        <x:v>400000</x:v>
      </x:c>
      <x:c r="M51" s="58" t="n">
        <x:f>K51-L51</x:f>
        <x:v>400000</x:v>
      </x:c>
      <x:c r="N51" s="61" t="n">
        <x:f>K51/F51</x:f>
        <x:v>0.0879856961653744</x:v>
      </x:c>
      <x:c r="O51" s="52" t="str">
        <x:v>staffed geofenced pickup with temporary lane control</x:v>
      </x:c>
      <x:c r="P51" s="52" t="str">
        <x:v>off-street rideshare hub with accessible bays</x:v>
      </x:c>
      <x:c r="Q51" s="52" t="n">
        <x:v>10</x:v>
      </x:c>
      <x:c r="R51" s="52" t="str">
        <x:v>engineering_assumption</x:v>
      </x:c>
      <x:c r="S51" s="52" t="str">
        <x:v>fta-wc26</x:v>
      </x:c>
      <x:c r="T51" s="52" t="str">
        <x:v>https://www.transit.dot.gov/funding/apportionments/fta-world-cup-funding-apportionment-table</x:v>
      </x:c>
    </x:row>
    <x:row r="52">
      <x:c r="A52" s="52" t="n">
        <x:v>4</x:v>
      </x:c>
      <x:c r="B52" s="52" t="str">
        <x:v>houston</x:v>
      </x:c>
      <x:c r="C52" s="52" t="str">
        <x:v>Houston</x:v>
      </x:c>
      <x:c r="D52" s="52" t="str">
        <x:v>wayfinding</x:v>
      </x:c>
      <x:c r="E52" s="52" t="str">
        <x:v>Multilingual wayfinding</x:v>
      </x:c>
      <x:c r="F52" s="58" t="n">
        <x:v>9092387</x:v>
      </x:c>
      <x:c r="G52" s="52" t="n">
        <x:v>2</x:v>
      </x:c>
      <x:c r="H52" s="52" t="str">
        <x:v>city package</x:v>
      </x:c>
      <x:c r="I52" s="58" t="n">
        <x:v>300000</x:v>
      </x:c>
      <x:c r="J52" s="55" t="n">
        <x:v>0.45</x:v>
      </x:c>
      <x:c r="K52" s="58" t="n">
        <x:f>G52*I52</x:f>
        <x:v>600000</x:v>
      </x:c>
      <x:c r="L52" s="58" t="n">
        <x:f>K52*J52</x:f>
        <x:v>270000</x:v>
      </x:c>
      <x:c r="M52" s="58" t="n">
        <x:f>K52-L52</x:f>
        <x:v>330000</x:v>
      </x:c>
      <x:c r="N52" s="61" t="n">
        <x:f>K52/F52</x:f>
        <x:v>0.0659892721240308</x:v>
      </x:c>
      <x:c r="O52" s="52" t="str">
        <x:v>portable signs; digital messages; multilingual ambassadors</x:v>
      </x:c>
      <x:c r="P52" s="52" t="str">
        <x:v>fixed multilingual physical and digital wayfinding</x:v>
      </x:c>
      <x:c r="Q52" s="52" t="n">
        <x:v>7</x:v>
      </x:c>
      <x:c r="R52" s="52" t="str">
        <x:v>engineering_assumption</x:v>
      </x:c>
      <x:c r="S52" s="52" t="str">
        <x:v>fta-wc26</x:v>
      </x:c>
      <x:c r="T52" s="52" t="str">
        <x:v>https://www.transit.dot.gov/funding/apportionments/fta-world-cup-funding-apportionment-table</x:v>
      </x:c>
    </x:row>
    <x:row r="53">
      <x:c r="A53" s="52" t="n">
        <x:v>4</x:v>
      </x:c>
      <x:c r="B53" s="52" t="str">
        <x:v>houston</x:v>
      </x:c>
      <x:c r="C53" s="52" t="str">
        <x:v>Houston</x:v>
      </x:c>
      <x:c r="D53" s="52" t="str">
        <x:v>station</x:v>
      </x:c>
      <x:c r="E53" s="52" t="str">
        <x:v>Station-capacity package</x:v>
      </x:c>
      <x:c r="F53" s="58" t="n">
        <x:v>9092387</x:v>
      </x:c>
      <x:c r="G53" s="52" t="n">
        <x:v>1</x:v>
      </x:c>
      <x:c r="H53" s="52" t="str">
        <x:v>1 station</x:v>
      </x:c>
      <x:c r="I53" s="58" t="n">
        <x:v>1250000</x:v>
      </x:c>
      <x:c r="J53" s="55" t="n">
        <x:v>0.2</x:v>
      </x:c>
      <x:c r="K53" s="58" t="n">
        <x:f>G53*I53</x:f>
        <x:v>1250000</x:v>
      </x:c>
      <x:c r="L53" s="58" t="n">
        <x:f>K53*J53</x:f>
        <x:v>250000</x:v>
      </x:c>
      <x:c r="M53" s="58" t="n">
        <x:f>K53-L53</x:f>
        <x:v>1000000</x:v>
      </x:c>
      <x:c r="N53" s="61" t="n">
        <x:f>K53/F53</x:f>
        <x:v>0.1374776502583975</x:v>
      </x:c>
      <x:c r="O53" s="52" t="str">
        <x:v>temporary gates; queue barriers; portable fare equipment</x:v>
      </x:c>
      <x:c r="P53" s="52" t="str">
        <x:v>platform, entry and circulation expansion</x:v>
      </x:c>
      <x:c r="Q53" s="52" t="n">
        <x:v>25</x:v>
      </x:c>
      <x:c r="R53" s="52" t="str">
        <x:v>engineering_assumption</x:v>
      </x:c>
      <x:c r="S53" s="52" t="str">
        <x:v>fta-wc26</x:v>
      </x:c>
      <x:c r="T53" s="52" t="str">
        <x:v>https://www.transit.dot.gov/funding/apportionments/fta-world-cup-funding-apportionment-table</x:v>
      </x:c>
    </x:row>
    <x:row r="54">
      <x:c r="A54" s="52" t="n">
        <x:v>4</x:v>
      </x:c>
      <x:c r="B54" s="52" t="str">
        <x:v>houston</x:v>
      </x:c>
      <x:c r="C54" s="52" t="str">
        <x:v>Houston</x:v>
      </x:c>
      <x:c r="D54" s="52" t="str">
        <x:v>toc</x:v>
      </x:c>
      <x:c r="E54" s="52" t="str">
        <x:v>Integrated traffic operations</x:v>
      </x:c>
      <x:c r="F54" s="58" t="n">
        <x:v>9092387</x:v>
      </x:c>
      <x:c r="G54" s="52" t="n">
        <x:v>2</x:v>
      </x:c>
      <x:c r="H54" s="52" t="str">
        <x:v>city package</x:v>
      </x:c>
      <x:c r="I54" s="58" t="n">
        <x:v>750000</x:v>
      </x:c>
      <x:c r="J54" s="55" t="n">
        <x:v>0.25</x:v>
      </x:c>
      <x:c r="K54" s="58" t="n">
        <x:f>G54*I54</x:f>
        <x:v>1500000</x:v>
      </x:c>
      <x:c r="L54" s="58" t="n">
        <x:f>K54*J54</x:f>
        <x:v>375000</x:v>
      </x:c>
      <x:c r="M54" s="58" t="n">
        <x:f>K54-L54</x:f>
        <x:v>1125000</x:v>
      </x:c>
      <x:c r="N54" s="61" t="n">
        <x:f>K54/F54</x:f>
        <x:v>0.164973180310077</x:v>
      </x:c>
      <x:c r="O54" s="52" t="str">
        <x:v>unified incident command and temporary sensor feeds</x:v>
      </x:c>
      <x:c r="P54" s="52" t="str">
        <x:v>integrated operations center and adaptive dispatch</x:v>
      </x:c>
      <x:c r="Q54" s="52" t="n">
        <x:v>10</x:v>
      </x:c>
      <x:c r="R54" s="52" t="str">
        <x:v>engineering_assumption</x:v>
      </x:c>
      <x:c r="S54" s="52" t="str">
        <x:v>fta-wc26</x:v>
      </x:c>
      <x:c r="T54" s="52" t="str">
        <x:v>https://www.transit.dot.gov/funding/apportionments/fta-world-cup-funding-apportionment-table</x:v>
      </x:c>
    </x:row>
    <x:row r="55">
      <x:c r="A55" s="52" t="n">
        <x:v>4</x:v>
      </x:c>
      <x:c r="B55" s="52" t="str">
        <x:v>houston</x:v>
      </x:c>
      <x:c r="C55" s="52" t="str">
        <x:v>Houston</x:v>
      </x:c>
      <x:c r="D55" s="52" t="str">
        <x:v>access</x:v>
      </x:c>
      <x:c r="E55" s="52" t="str">
        <x:v>ADA/microtransit access</x:v>
      </x:c>
      <x:c r="F55" s="58" t="n">
        <x:v>9092387</x:v>
      </x:c>
      <x:c r="G55" s="52" t="n">
        <x:v>0</x:v>
      </x:c>
      <x:c r="H55" s="52" t="str">
        <x:v>city package</x:v>
      </x:c>
      <x:c r="I55" s="58" t="n">
        <x:v>500000</x:v>
      </x:c>
      <x:c r="J55" s="55" t="n">
        <x:v>0.3</x:v>
      </x:c>
      <x:c r="K55" s="58" t="n">
        <x:f>G55*I55</x:f>
        <x:v>0</x:v>
      </x:c>
      <x:c r="L55" s="58" t="n">
        <x:f>K55*J55</x:f>
        <x:v>0</x:v>
      </x:c>
      <x:c r="M55" s="58" t="n">
        <x:f>K55-L55</x:f>
        <x:v>0</x:v>
      </x:c>
      <x:c r="N55" s="61" t="n">
        <x:f>K55/F55</x:f>
        <x:v>0</x:v>
      </x:c>
      <x:c r="O55" s="52" t="str">
        <x:v>accessible shuttles; temporary ramps and staffed assistance</x:v>
      </x:c>
      <x:c r="P55" s="52" t="str">
        <x:v>ADA ramps; tactile guidance; accessible first/last-mile network</x:v>
      </x:c>
      <x:c r="Q55" s="52" t="n">
        <x:v>15</x:v>
      </x:c>
      <x:c r="R55" s="52" t="str">
        <x:v>engineering_assumption</x:v>
      </x:c>
      <x:c r="S55" s="52" t="str">
        <x:v>fta-wc26</x:v>
      </x:c>
      <x:c r="T55" s="52" t="str">
        <x:v>https://www.transit.dot.gov/funding/apportionments/fta-world-cup-funding-apportionment-table</x:v>
      </x:c>
    </x:row>
    <x:row r="56">
      <x:c r="A56" s="57" t="n">
        <x:v>4</x:v>
      </x:c>
      <x:c r="B56" s="57" t="str">
        <x:v>houston</x:v>
      </x:c>
      <x:c r="C56" s="57" t="str">
        <x:v>Houston</x:v>
      </x:c>
      <x:c r="D56" s="57" t="str">
        <x:v>reserve</x:v>
      </x:c>
      <x:c r="E56" s="57" t="str">
        <x:v>Unassigned program reserve</x:v>
      </x:c>
      <x:c r="F56" s="59" t="n">
        <x:v>9092387</x:v>
      </x:c>
      <x:c r="G56" s="57" t="n">
        <x:v>1</x:v>
      </x:c>
      <x:c r="H56" s="57" t="str">
        <x:v>residual</x:v>
      </x:c>
      <x:c r="I56" s="59"/>
      <x:c r="J56" s="60" t="n">
        <x:v>0</x:v>
      </x:c>
      <x:c r="K56" s="59" t="n">
        <x:f>F56-SUM(K44:K55)</x:f>
        <x:v>92387</x:v>
      </x:c>
      <x:c r="L56" s="59" t="n">
        <x:v>0</x:v>
      </x:c>
      <x:c r="M56" s="59" t="n">
        <x:v>0</x:v>
      </x:c>
      <x:c r="N56" s="62" t="n">
        <x:f>K56/F56</x:f>
        <x:v>0.010160918139538056</x:v>
      </x:c>
      <x:c r="O56" s="57" t="str">
        <x:v>Not committed in this demonstration model</x:v>
      </x:c>
      <x:c r="P56" s="57" t="str">
        <x:v>Release only after engineering, operations and contingency review</x:v>
      </x:c>
      <x:c r="Q56" s="57" t="n">
        <x:v>0</x:v>
      </x:c>
      <x:c r="R56" s="57" t="str">
        <x:v>formula_residual</x:v>
      </x:c>
      <x:c r="S56" s="57" t="str">
        <x:v>fta-wc26</x:v>
      </x:c>
      <x:c r="T56" s="57" t="str">
        <x:v>https://www.transit.dot.gov/funding/apportionments/fta-world-cup-funding-apportionment-table</x:v>
      </x:c>
    </x:row>
    <x:row r="57">
      <x:c r="A57" s="52" t="n">
        <x:v>5</x:v>
      </x:c>
      <x:c r="B57" s="52" t="str">
        <x:v>kansas-city</x:v>
      </x:c>
      <x:c r="C57" s="52" t="str">
        <x:v>Kansas City</x:v>
      </x:c>
      <x:c r="D57" s="52" t="str">
        <x:v>service</x:v>
      </x:c>
      <x:c r="E57" s="52" t="str">
        <x:v>Extra transit service</x:v>
      </x:c>
      <x:c r="F57" s="58" t="n">
        <x:v>8632123</x:v>
      </x:c>
      <x:c r="G57" s="52" t="n">
        <x:v>3</x:v>
      </x:c>
      <x:c r="H57" s="52" t="str">
        <x:v>2,500 vehicle-hours</x:v>
      </x:c>
      <x:c r="I57" s="58" t="n">
        <x:v>550000</x:v>
      </x:c>
      <x:c r="J57" s="55" t="n">
        <x:v>0.8</x:v>
      </x:c>
      <x:c r="K57" s="58" t="n">
        <x:f>G57*I57</x:f>
        <x:v>1650000</x:v>
      </x:c>
      <x:c r="L57" s="58" t="n">
        <x:f>K57*J57</x:f>
        <x:v>1320000</x:v>
      </x:c>
      <x:c r="M57" s="58" t="n">
        <x:f>K57-L57</x:f>
        <x:v>330000</x:v>
      </x:c>
      <x:c r="N57" s="61" t="n">
        <x:f>K57/F57</x:f>
        <x:v>0.1911464885289517</x:v>
      </x:c>
      <x:c r="O57" s="52" t="str">
        <x:v>extra rail/bus vehicle-hours; standby operators; event timetable</x:v>
      </x:c>
      <x:c r="P57" s="52" t="str">
        <x:v>recurring major-event service plan; fleet and stabling readiness</x:v>
      </x:c>
      <x:c r="Q57" s="52" t="n">
        <x:v>1</x:v>
      </x:c>
      <x:c r="R57" s="52" t="str">
        <x:v>engineering_assumption</x:v>
      </x:c>
      <x:c r="S57" s="52" t="str">
        <x:v>fta-wc26</x:v>
      </x:c>
      <x:c r="T57" s="52" t="str">
        <x:v>https://www.transit.dot.gov/funding/apportionments/fta-world-cup-funding-apportionment-table</x:v>
      </x:c>
    </x:row>
    <x:row r="58">
      <x:c r="A58" s="52" t="n">
        <x:v>5</x:v>
      </x:c>
      <x:c r="B58" s="52" t="str">
        <x:v>kansas-city</x:v>
      </x:c>
      <x:c r="C58" s="52" t="str">
        <x:v>Kansas City</x:v>
      </x:c>
      <x:c r="D58" s="52" t="str">
        <x:v>buslane</x:v>
      </x:c>
      <x:c r="E58" s="52" t="str">
        <x:v>Transit-priority lanes</x:v>
      </x:c>
      <x:c r="F58" s="58" t="n">
        <x:v>8632123</x:v>
      </x:c>
      <x:c r="G58" s="52" t="n">
        <x:v>4</x:v>
      </x:c>
      <x:c r="H58" s="52" t="str">
        <x:v>2 lane-miles</x:v>
      </x:c>
      <x:c r="I58" s="58" t="n">
        <x:v>360000</x:v>
      </x:c>
      <x:c r="J58" s="55" t="n">
        <x:v>0.45</x:v>
      </x:c>
      <x:c r="K58" s="58" t="n">
        <x:f>G58*I58</x:f>
        <x:v>1440000</x:v>
      </x:c>
      <x:c r="L58" s="58" t="n">
        <x:f>K58*J58</x:f>
        <x:v>648000</x:v>
      </x:c>
      <x:c r="M58" s="58" t="n">
        <x:f>K58-L58</x:f>
        <x:v>792000</x:v>
      </x:c>
      <x:c r="N58" s="61" t="n">
        <x:f>K58/F58</x:f>
        <x:v>0.16681875362526694</x:v>
      </x:c>
      <x:c r="O58" s="52" t="str">
        <x:v>cone- and paint-defined bus lane with enforcement</x:v>
      </x:c>
      <x:c r="P58" s="52" t="str">
        <x:v>dedicated or peak-period transit-priority lane</x:v>
      </x:c>
      <x:c r="Q58" s="52" t="n">
        <x:v>10</x:v>
      </x:c>
      <x:c r="R58" s="52" t="str">
        <x:v>engineering_assumption</x:v>
      </x:c>
      <x:c r="S58" s="52" t="str">
        <x:v>fta-wc26</x:v>
      </x:c>
      <x:c r="T58" s="52" t="str">
        <x:v>https://www.transit.dot.gov/funding/apportionments/fta-world-cup-funding-apportionment-table</x:v>
      </x:c>
    </x:row>
    <x:row r="59">
      <x:c r="A59" s="52" t="n">
        <x:v>5</x:v>
      </x:c>
      <x:c r="B59" s="52" t="str">
        <x:v>kansas-city</x:v>
      </x:c>
      <x:c r="C59" s="52" t="str">
        <x:v>Kansas City</x:v>
      </x:c>
      <x:c r="D59" s="52" t="str">
        <x:v>signals</x:v>
      </x:c>
      <x:c r="E59" s="52" t="str">
        <x:v>Signal timing plans</x:v>
      </x:c>
      <x:c r="F59" s="58" t="n">
        <x:v>8632123</x:v>
      </x:c>
      <x:c r="G59" s="52" t="n">
        <x:v>4</x:v>
      </x:c>
      <x:c r="H59" s="52" t="str">
        <x:v>20 intersections</x:v>
      </x:c>
      <x:c r="I59" s="58" t="n">
        <x:v>90000</x:v>
      </x:c>
      <x:c r="J59" s="55" t="n">
        <x:v>0.25</x:v>
      </x:c>
      <x:c r="K59" s="58" t="n">
        <x:f>G59*I59</x:f>
        <x:v>360000</x:v>
      </x:c>
      <x:c r="L59" s="58" t="n">
        <x:f>K59*J59</x:f>
        <x:v>90000</x:v>
      </x:c>
      <x:c r="M59" s="58" t="n">
        <x:f>K59-L59</x:f>
        <x:v>270000</x:v>
      </x:c>
      <x:c r="N59" s="61" t="n">
        <x:f>K59/F59</x:f>
        <x:v>0.041704688406316734</x:v>
      </x:c>
      <x:c r="O59" s="52" t="str">
        <x:v>police/manual traffic control and temporary timing plan</x:v>
      </x:c>
      <x:c r="P59" s="52" t="str">
        <x:v>adaptive controllers and transit signal priority</x:v>
      </x:c>
      <x:c r="Q59" s="52" t="n">
        <x:v>10</x:v>
      </x:c>
      <x:c r="R59" s="52" t="str">
        <x:v>engineering_assumption</x:v>
      </x:c>
      <x:c r="S59" s="52" t="str">
        <x:v>fta-wc26</x:v>
      </x:c>
      <x:c r="T59" s="52" t="str">
        <x:v>https://www.transit.dot.gov/funding/apportionments/fta-world-cup-funding-apportionment-table</x:v>
      </x:c>
    </x:row>
    <x:row r="60">
      <x:c r="A60" s="52" t="n">
        <x:v>5</x:v>
      </x:c>
      <x:c r="B60" s="52" t="str">
        <x:v>kansas-city</x:v>
      </x:c>
      <x:c r="C60" s="52" t="str">
        <x:v>Kansas City</x:v>
      </x:c>
      <x:c r="D60" s="52" t="str">
        <x:v>hub</x:v>
      </x:c>
      <x:c r="E60" s="52" t="str">
        <x:v>Hub-to-stadium shuttle package</x:v>
      </x:c>
      <x:c r="F60" s="58" t="n">
        <x:v>8632123</x:v>
      </x:c>
      <x:c r="G60" s="52" t="n">
        <x:v>3</x:v>
      </x:c>
      <x:c r="H60" s="52" t="str">
        <x:v>1 hub package</x:v>
      </x:c>
      <x:c r="I60" s="58" t="n">
        <x:v>750000</x:v>
      </x:c>
      <x:c r="J60" s="55" t="n">
        <x:v>0.4</x:v>
      </x:c>
      <x:c r="K60" s="58" t="n">
        <x:f>G60*I60</x:f>
        <x:v>2250000</x:v>
      </x:c>
      <x:c r="L60" s="58" t="n">
        <x:f>K60*J60</x:f>
        <x:v>900000</x:v>
      </x:c>
      <x:c r="M60" s="58" t="n">
        <x:f>K60-L60</x:f>
        <x:v>1350000</x:v>
      </x:c>
      <x:c r="N60" s="61" t="n">
        <x:f>K60/F60</x:f>
        <x:v>0.2606543025394796</x:v>
      </x:c>
      <x:c r="O60" s="52" t="str">
        <x:v>pop-up shuttle zone; temporary shelters and dispatch</x:v>
      </x:c>
      <x:c r="P60" s="52" t="str">
        <x:v>permanent multimodal mobility hub</x:v>
      </x:c>
      <x:c r="Q60" s="52" t="n">
        <x:v>15</x:v>
      </x:c>
      <x:c r="R60" s="52" t="str">
        <x:v>engineering_assumption</x:v>
      </x:c>
      <x:c r="S60" s="52" t="str">
        <x:v>fta-wc26</x:v>
      </x:c>
      <x:c r="T60" s="52" t="str">
        <x:v>https://www.transit.dot.gov/funding/apportionments/fta-world-cup-funding-apportionment-table</x:v>
      </x:c>
    </x:row>
    <x:row r="61">
      <x:c r="A61" s="52" t="n">
        <x:v>5</x:v>
      </x:c>
      <x:c r="B61" s="52" t="str">
        <x:v>kansas-city</x:v>
      </x:c>
      <x:c r="C61" s="52" t="str">
        <x:v>Kansas City</x:v>
      </x:c>
      <x:c r="D61" s="52" t="str">
        <x:v>parkride</x:v>
      </x:c>
      <x:c r="E61" s="52" t="str">
        <x:v>Park-and-ride package</x:v>
      </x:c>
      <x:c r="F61" s="58" t="n">
        <x:v>8632123</x:v>
      </x:c>
      <x:c r="G61" s="52" t="n">
        <x:v>2</x:v>
      </x:c>
      <x:c r="H61" s="52" t="str">
        <x:v>500 spaces</x:v>
      </x:c>
      <x:c r="I61" s="58" t="n">
        <x:v>450000</x:v>
      </x:c>
      <x:c r="J61" s="55" t="n">
        <x:v>0.5</x:v>
      </x:c>
      <x:c r="K61" s="58" t="n">
        <x:f>G61*I61</x:f>
        <x:v>900000</x:v>
      </x:c>
      <x:c r="L61" s="58" t="n">
        <x:f>K61*J61</x:f>
        <x:v>450000</x:v>
      </x:c>
      <x:c r="M61" s="58" t="n">
        <x:f>K61-L61</x:f>
        <x:v>450000</x:v>
      </x:c>
      <x:c r="N61" s="61" t="n">
        <x:f>K61/F61</x:f>
        <x:v>0.10426172101579183</x:v>
      </x:c>
      <x:c r="O61" s="52" t="str">
        <x:v>leased intercept lots and temporary signing</x:v>
      </x:c>
      <x:c r="P61" s="52" t="str">
        <x:v>permanent park-and-ride with charging and transit access</x:v>
      </x:c>
      <x:c r="Q61" s="52" t="n">
        <x:v>5</x:v>
      </x:c>
      <x:c r="R61" s="52" t="str">
        <x:v>engineering_assumption</x:v>
      </x:c>
      <x:c r="S61" s="52" t="str">
        <x:v>fta-wc26</x:v>
      </x:c>
      <x:c r="T61" s="52" t="str">
        <x:v>https://www.transit.dot.gov/funding/apportionments/fta-world-cup-funding-apportionment-table</x:v>
      </x:c>
    </x:row>
    <x:row r="62">
      <x:c r="A62" s="52" t="n">
        <x:v>5</x:v>
      </x:c>
      <x:c r="B62" s="52" t="str">
        <x:v>kansas-city</x:v>
      </x:c>
      <x:c r="C62" s="52" t="str">
        <x:v>Kansas City</x:v>
      </x:c>
      <x:c r="D62" s="52" t="str">
        <x:v>ped</x:v>
      </x:c>
      <x:c r="E62" s="52" t="str">
        <x:v>Protected pedestrian corridor</x:v>
      </x:c>
      <x:c r="F62" s="58" t="n">
        <x:v>8632123</x:v>
      </x:c>
      <x:c r="G62" s="52" t="n">
        <x:v>0</x:v>
      </x:c>
      <x:c r="H62" s="52" t="str">
        <x:v>1 tactical mile</x:v>
      </x:c>
      <x:c r="I62" s="58" t="n">
        <x:v>600000</x:v>
      </x:c>
      <x:c r="J62" s="55" t="n">
        <x:v>0.35</x:v>
      </x:c>
      <x:c r="K62" s="58" t="n">
        <x:f>G62*I62</x:f>
        <x:v>0</x:v>
      </x:c>
      <x:c r="L62" s="58" t="n">
        <x:f>K62*J62</x:f>
        <x:v>0</x:v>
      </x:c>
      <x:c r="M62" s="58" t="n">
        <x:f>K62-L62</x:f>
        <x:v>0</x:v>
      </x:c>
      <x:c r="N62" s="61" t="n">
        <x:f>K62/F62</x:f>
        <x:v>0</x:v>
      </x:c>
      <x:c r="O62" s="52" t="str">
        <x:v>barricaded protected corridor; marshals and lighting</x:v>
      </x:c>
      <x:c r="P62" s="52" t="str">
        <x:v>widened sidewalk; lighting; drainage and separation</x:v>
      </x:c>
      <x:c r="Q62" s="52" t="n">
        <x:v>15</x:v>
      </x:c>
      <x:c r="R62" s="52" t="str">
        <x:v>engineering_assumption</x:v>
      </x:c>
      <x:c r="S62" s="52" t="str">
        <x:v>fta-wc26</x:v>
      </x:c>
      <x:c r="T62" s="52" t="str">
        <x:v>https://www.transit.dot.gov/funding/apportionments/fta-world-cup-funding-apportionment-table</x:v>
      </x:c>
    </x:row>
    <x:row r="63">
      <x:c r="A63" s="52" t="n">
        <x:v>5</x:v>
      </x:c>
      <x:c r="B63" s="52" t="str">
        <x:v>kansas-city</x:v>
      </x:c>
      <x:c r="C63" s="52" t="str">
        <x:v>Kansas City</x:v>
      </x:c>
      <x:c r="D63" s="52" t="str">
        <x:v>bike</x:v>
      </x:c>
      <x:c r="E63" s="52" t="str">
        <x:v>Protected bicycle access</x:v>
      </x:c>
      <x:c r="F63" s="58" t="n">
        <x:v>8632123</x:v>
      </x:c>
      <x:c r="G63" s="52" t="n">
        <x:v>0</x:v>
      </x:c>
      <x:c r="H63" s="52" t="str">
        <x:v>2 route-miles + parking</x:v>
      </x:c>
      <x:c r="I63" s="58" t="n">
        <x:v>650000</x:v>
      </x:c>
      <x:c r="J63" s="55" t="n">
        <x:v>0.35</x:v>
      </x:c>
      <x:c r="K63" s="58" t="n">
        <x:f>G63*I63</x:f>
        <x:v>0</x:v>
      </x:c>
      <x:c r="L63" s="58" t="n">
        <x:f>K63*J63</x:f>
        <x:v>0</x:v>
      </x:c>
      <x:c r="M63" s="58" t="n">
        <x:f>K63-L63</x:f>
        <x:v>0</x:v>
      </x:c>
      <x:c r="N63" s="61" t="n">
        <x:f>K63/F63</x:f>
        <x:v>0</x:v>
      </x:c>
      <x:c r="O63" s="52" t="str">
        <x:v>pop-up protected lane and attended bike valet</x:v>
      </x:c>
      <x:c r="P63" s="52" t="str">
        <x:v>protected bikeway and secure long-term parking</x:v>
      </x:c>
      <x:c r="Q63" s="52" t="n">
        <x:v>15</x:v>
      </x:c>
      <x:c r="R63" s="52" t="str">
        <x:v>engineering_assumption</x:v>
      </x:c>
      <x:c r="S63" s="52" t="str">
        <x:v>fta-wc26</x:v>
      </x:c>
      <x:c r="T63" s="52" t="str">
        <x:v>https://www.transit.dot.gov/funding/apportionments/fta-world-cup-funding-apportionment-table</x:v>
      </x:c>
    </x:row>
    <x:row r="64">
      <x:c r="A64" s="52" t="n">
        <x:v>5</x:v>
      </x:c>
      <x:c r="B64" s="52" t="str">
        <x:v>kansas-city</x:v>
      </x:c>
      <x:c r="C64" s="52" t="str">
        <x:v>Kansas City</x:v>
      </x:c>
      <x:c r="D64" s="52" t="str">
        <x:v>tnc</x:v>
      </x:c>
      <x:c r="E64" s="52" t="str">
        <x:v>Managed rideshare hub</x:v>
      </x:c>
      <x:c r="F64" s="58" t="n">
        <x:v>8632123</x:v>
      </x:c>
      <x:c r="G64" s="52" t="n">
        <x:v>3</x:v>
      </x:c>
      <x:c r="H64" s="52" t="str">
        <x:v>1 staffed hub</x:v>
      </x:c>
      <x:c r="I64" s="58" t="n">
        <x:v>400000</x:v>
      </x:c>
      <x:c r="J64" s="55" t="n">
        <x:v>0.5</x:v>
      </x:c>
      <x:c r="K64" s="58" t="n">
        <x:f>G64*I64</x:f>
        <x:v>1200000</x:v>
      </x:c>
      <x:c r="L64" s="58" t="n">
        <x:f>K64*J64</x:f>
        <x:v>600000</x:v>
      </x:c>
      <x:c r="M64" s="58" t="n">
        <x:f>K64-L64</x:f>
        <x:v>600000</x:v>
      </x:c>
      <x:c r="N64" s="61" t="n">
        <x:f>K64/F64</x:f>
        <x:v>0.13901562802105577</x:v>
      </x:c>
      <x:c r="O64" s="52" t="str">
        <x:v>staffed geofenced pickup with temporary lane control</x:v>
      </x:c>
      <x:c r="P64" s="52" t="str">
        <x:v>off-street rideshare hub with accessible bays</x:v>
      </x:c>
      <x:c r="Q64" s="52" t="n">
        <x:v>10</x:v>
      </x:c>
      <x:c r="R64" s="52" t="str">
        <x:v>engineering_assumption</x:v>
      </x:c>
      <x:c r="S64" s="52" t="str">
        <x:v>fta-wc26</x:v>
      </x:c>
      <x:c r="T64" s="52" t="str">
        <x:v>https://www.transit.dot.gov/funding/apportionments/fta-world-cup-funding-apportionment-table</x:v>
      </x:c>
    </x:row>
    <x:row r="65">
      <x:c r="A65" s="52" t="n">
        <x:v>5</x:v>
      </x:c>
      <x:c r="B65" s="52" t="str">
        <x:v>kansas-city</x:v>
      </x:c>
      <x:c r="C65" s="52" t="str">
        <x:v>Kansas City</x:v>
      </x:c>
      <x:c r="D65" s="52" t="str">
        <x:v>wayfinding</x:v>
      </x:c>
      <x:c r="E65" s="52" t="str">
        <x:v>Multilingual wayfinding</x:v>
      </x:c>
      <x:c r="F65" s="58" t="n">
        <x:v>8632123</x:v>
      </x:c>
      <x:c r="G65" s="52" t="n">
        <x:v>0</x:v>
      </x:c>
      <x:c r="H65" s="52" t="str">
        <x:v>city package</x:v>
      </x:c>
      <x:c r="I65" s="58" t="n">
        <x:v>300000</x:v>
      </x:c>
      <x:c r="J65" s="55" t="n">
        <x:v>0.45</x:v>
      </x:c>
      <x:c r="K65" s="58" t="n">
        <x:f>G65*I65</x:f>
        <x:v>0</x:v>
      </x:c>
      <x:c r="L65" s="58" t="n">
        <x:f>K65*J65</x:f>
        <x:v>0</x:v>
      </x:c>
      <x:c r="M65" s="58" t="n">
        <x:f>K65-L65</x:f>
        <x:v>0</x:v>
      </x:c>
      <x:c r="N65" s="61" t="n">
        <x:f>K65/F65</x:f>
        <x:v>0</x:v>
      </x:c>
      <x:c r="O65" s="52" t="str">
        <x:v>portable signs; digital messages; multilingual ambassadors</x:v>
      </x:c>
      <x:c r="P65" s="52" t="str">
        <x:v>fixed multilingual physical and digital wayfinding</x:v>
      </x:c>
      <x:c r="Q65" s="52" t="n">
        <x:v>7</x:v>
      </x:c>
      <x:c r="R65" s="52" t="str">
        <x:v>engineering_assumption</x:v>
      </x:c>
      <x:c r="S65" s="52" t="str">
        <x:v>fta-wc26</x:v>
      </x:c>
      <x:c r="T65" s="52" t="str">
        <x:v>https://www.transit.dot.gov/funding/apportionments/fta-world-cup-funding-apportionment-table</x:v>
      </x:c>
    </x:row>
    <x:row r="66">
      <x:c r="A66" s="52" t="n">
        <x:v>5</x:v>
      </x:c>
      <x:c r="B66" s="52" t="str">
        <x:v>kansas-city</x:v>
      </x:c>
      <x:c r="C66" s="52" t="str">
        <x:v>Kansas City</x:v>
      </x:c>
      <x:c r="D66" s="52" t="str">
        <x:v>station</x:v>
      </x:c>
      <x:c r="E66" s="52" t="str">
        <x:v>Station-capacity package</x:v>
      </x:c>
      <x:c r="F66" s="58" t="n">
        <x:v>8632123</x:v>
      </x:c>
      <x:c r="G66" s="52" t="n">
        <x:v>0</x:v>
      </x:c>
      <x:c r="H66" s="52" t="str">
        <x:v>1 station</x:v>
      </x:c>
      <x:c r="I66" s="58" t="n">
        <x:v>1250000</x:v>
      </x:c>
      <x:c r="J66" s="55" t="n">
        <x:v>0.2</x:v>
      </x:c>
      <x:c r="K66" s="58" t="n">
        <x:f>G66*I66</x:f>
        <x:v>0</x:v>
      </x:c>
      <x:c r="L66" s="58" t="n">
        <x:f>K66*J66</x:f>
        <x:v>0</x:v>
      </x:c>
      <x:c r="M66" s="58" t="n">
        <x:f>K66-L66</x:f>
        <x:v>0</x:v>
      </x:c>
      <x:c r="N66" s="61" t="n">
        <x:f>K66/F66</x:f>
        <x:v>0</x:v>
      </x:c>
      <x:c r="O66" s="52" t="str">
        <x:v>temporary gates; queue barriers; portable fare equipment</x:v>
      </x:c>
      <x:c r="P66" s="52" t="str">
        <x:v>platform, entry and circulation expansion</x:v>
      </x:c>
      <x:c r="Q66" s="52" t="n">
        <x:v>25</x:v>
      </x:c>
      <x:c r="R66" s="52" t="str">
        <x:v>engineering_assumption</x:v>
      </x:c>
      <x:c r="S66" s="52" t="str">
        <x:v>fta-wc26</x:v>
      </x:c>
      <x:c r="T66" s="52" t="str">
        <x:v>https://www.transit.dot.gov/funding/apportionments/fta-world-cup-funding-apportionment-table</x:v>
      </x:c>
    </x:row>
    <x:row r="67">
      <x:c r="A67" s="52" t="n">
        <x:v>5</x:v>
      </x:c>
      <x:c r="B67" s="52" t="str">
        <x:v>kansas-city</x:v>
      </x:c>
      <x:c r="C67" s="52" t="str">
        <x:v>Kansas City</x:v>
      </x:c>
      <x:c r="D67" s="52" t="str">
        <x:v>toc</x:v>
      </x:c>
      <x:c r="E67" s="52" t="str">
        <x:v>Integrated traffic operations</x:v>
      </x:c>
      <x:c r="F67" s="58" t="n">
        <x:v>8632123</x:v>
      </x:c>
      <x:c r="G67" s="52" t="n">
        <x:v>1</x:v>
      </x:c>
      <x:c r="H67" s="52" t="str">
        <x:v>city package</x:v>
      </x:c>
      <x:c r="I67" s="58" t="n">
        <x:v>750000</x:v>
      </x:c>
      <x:c r="J67" s="55" t="n">
        <x:v>0.25</x:v>
      </x:c>
      <x:c r="K67" s="58" t="n">
        <x:f>G67*I67</x:f>
        <x:v>750000</x:v>
      </x:c>
      <x:c r="L67" s="58" t="n">
        <x:f>K67*J67</x:f>
        <x:v>187500</x:v>
      </x:c>
      <x:c r="M67" s="58" t="n">
        <x:f>K67-L67</x:f>
        <x:v>562500</x:v>
      </x:c>
      <x:c r="N67" s="61" t="n">
        <x:f>K67/F67</x:f>
        <x:v>0.08688476751315985</x:v>
      </x:c>
      <x:c r="O67" s="52" t="str">
        <x:v>unified incident command and temporary sensor feeds</x:v>
      </x:c>
      <x:c r="P67" s="52" t="str">
        <x:v>integrated operations center and adaptive dispatch</x:v>
      </x:c>
      <x:c r="Q67" s="52" t="n">
        <x:v>10</x:v>
      </x:c>
      <x:c r="R67" s="52" t="str">
        <x:v>engineering_assumption</x:v>
      </x:c>
      <x:c r="S67" s="52" t="str">
        <x:v>fta-wc26</x:v>
      </x:c>
      <x:c r="T67" s="52" t="str">
        <x:v>https://www.transit.dot.gov/funding/apportionments/fta-world-cup-funding-apportionment-table</x:v>
      </x:c>
    </x:row>
    <x:row r="68">
      <x:c r="A68" s="52" t="n">
        <x:v>5</x:v>
      </x:c>
      <x:c r="B68" s="52" t="str">
        <x:v>kansas-city</x:v>
      </x:c>
      <x:c r="C68" s="52" t="str">
        <x:v>Kansas City</x:v>
      </x:c>
      <x:c r="D68" s="52" t="str">
        <x:v>access</x:v>
      </x:c>
      <x:c r="E68" s="52" t="str">
        <x:v>ADA/microtransit access</x:v>
      </x:c>
      <x:c r="F68" s="58" t="n">
        <x:v>8632123</x:v>
      </x:c>
      <x:c r="G68" s="52" t="n">
        <x:v>0</x:v>
      </x:c>
      <x:c r="H68" s="52" t="str">
        <x:v>city package</x:v>
      </x:c>
      <x:c r="I68" s="58" t="n">
        <x:v>500000</x:v>
      </x:c>
      <x:c r="J68" s="55" t="n">
        <x:v>0.3</x:v>
      </x:c>
      <x:c r="K68" s="58" t="n">
        <x:f>G68*I68</x:f>
        <x:v>0</x:v>
      </x:c>
      <x:c r="L68" s="58" t="n">
        <x:f>K68*J68</x:f>
        <x:v>0</x:v>
      </x:c>
      <x:c r="M68" s="58" t="n">
        <x:f>K68-L68</x:f>
        <x:v>0</x:v>
      </x:c>
      <x:c r="N68" s="61" t="n">
        <x:f>K68/F68</x:f>
        <x:v>0</x:v>
      </x:c>
      <x:c r="O68" s="52" t="str">
        <x:v>accessible shuttles; temporary ramps and staffed assistance</x:v>
      </x:c>
      <x:c r="P68" s="52" t="str">
        <x:v>ADA ramps; tactile guidance; accessible first/last-mile network</x:v>
      </x:c>
      <x:c r="Q68" s="52" t="n">
        <x:v>15</x:v>
      </x:c>
      <x:c r="R68" s="52" t="str">
        <x:v>engineering_assumption</x:v>
      </x:c>
      <x:c r="S68" s="52" t="str">
        <x:v>fta-wc26</x:v>
      </x:c>
      <x:c r="T68" s="52" t="str">
        <x:v>https://www.transit.dot.gov/funding/apportionments/fta-world-cup-funding-apportionment-table</x:v>
      </x:c>
    </x:row>
    <x:row r="69">
      <x:c r="A69" s="57" t="n">
        <x:v>5</x:v>
      </x:c>
      <x:c r="B69" s="57" t="str">
        <x:v>kansas-city</x:v>
      </x:c>
      <x:c r="C69" s="57" t="str">
        <x:v>Kansas City</x:v>
      </x:c>
      <x:c r="D69" s="57" t="str">
        <x:v>reserve</x:v>
      </x:c>
      <x:c r="E69" s="57" t="str">
        <x:v>Unassigned program reserve</x:v>
      </x:c>
      <x:c r="F69" s="59" t="n">
        <x:v>8632123</x:v>
      </x:c>
      <x:c r="G69" s="57" t="n">
        <x:v>1</x:v>
      </x:c>
      <x:c r="H69" s="57" t="str">
        <x:v>residual</x:v>
      </x:c>
      <x:c r="I69" s="59"/>
      <x:c r="J69" s="60" t="n">
        <x:v>0</x:v>
      </x:c>
      <x:c r="K69" s="59" t="n">
        <x:f>F69-SUM(K57:K68)</x:f>
        <x:v>82123</x:v>
      </x:c>
      <x:c r="L69" s="59" t="n">
        <x:v>0</x:v>
      </x:c>
      <x:c r="M69" s="59" t="n">
        <x:v>0</x:v>
      </x:c>
      <x:c r="N69" s="62" t="n">
        <x:f>K69/F69</x:f>
        <x:v>0.009513650349977636</x:v>
      </x:c>
      <x:c r="O69" s="57" t="str">
        <x:v>Not committed in this demonstration model</x:v>
      </x:c>
      <x:c r="P69" s="57" t="str">
        <x:v>Release only after engineering, operations and contingency review</x:v>
      </x:c>
      <x:c r="Q69" s="57" t="n">
        <x:v>0</x:v>
      </x:c>
      <x:c r="R69" s="57" t="str">
        <x:v>formula_residual</x:v>
      </x:c>
      <x:c r="S69" s="57" t="str">
        <x:v>fta-wc26</x:v>
      </x:c>
      <x:c r="T69" s="57" t="str">
        <x:v>https://www.transit.dot.gov/funding/apportionments/fta-world-cup-funding-apportionment-table</x:v>
      </x:c>
    </x:row>
    <x:row r="70">
      <x:c r="A70" s="52" t="n">
        <x:v>6</x:v>
      </x:c>
      <x:c r="B70" s="52" t="str">
        <x:v>los-angeles</x:v>
      </x:c>
      <x:c r="C70" s="52" t="str">
        <x:v>Los Angeles</x:v>
      </x:c>
      <x:c r="D70" s="52" t="str">
        <x:v>service</x:v>
      </x:c>
      <x:c r="E70" s="52" t="str">
        <x:v>Extra transit service</x:v>
      </x:c>
      <x:c r="F70" s="58" t="n">
        <x:v>9603284</x:v>
      </x:c>
      <x:c r="G70" s="52" t="n">
        <x:v>3</x:v>
      </x:c>
      <x:c r="H70" s="52" t="str">
        <x:v>2,500 vehicle-hours</x:v>
      </x:c>
      <x:c r="I70" s="58" t="n">
        <x:v>550000</x:v>
      </x:c>
      <x:c r="J70" s="55" t="n">
        <x:v>0.8</x:v>
      </x:c>
      <x:c r="K70" s="58" t="n">
        <x:f>G70*I70</x:f>
        <x:v>1650000</x:v>
      </x:c>
      <x:c r="L70" s="58" t="n">
        <x:f>K70*J70</x:f>
        <x:v>1320000</x:v>
      </x:c>
      <x:c r="M70" s="58" t="n">
        <x:f>K70-L70</x:f>
        <x:v>330000</x:v>
      </x:c>
      <x:c r="N70" s="61" t="n">
        <x:f>K70/F70</x:f>
        <x:v>0.17181622453319093</x:v>
      </x:c>
      <x:c r="O70" s="52" t="str">
        <x:v>extra rail/bus vehicle-hours; standby operators; event timetable</x:v>
      </x:c>
      <x:c r="P70" s="52" t="str">
        <x:v>recurring major-event service plan; fleet and stabling readiness</x:v>
      </x:c>
      <x:c r="Q70" s="52" t="n">
        <x:v>1</x:v>
      </x:c>
      <x:c r="R70" s="52" t="str">
        <x:v>engineering_assumption</x:v>
      </x:c>
      <x:c r="S70" s="52" t="str">
        <x:v>fta-wc26</x:v>
      </x:c>
      <x:c r="T70" s="52" t="str">
        <x:v>https://www.transit.dot.gov/funding/apportionments/fta-world-cup-funding-apportionment-table</x:v>
      </x:c>
    </x:row>
    <x:row r="71">
      <x:c r="A71" s="52" t="n">
        <x:v>6</x:v>
      </x:c>
      <x:c r="B71" s="52" t="str">
        <x:v>los-angeles</x:v>
      </x:c>
      <x:c r="C71" s="52" t="str">
        <x:v>Los Angeles</x:v>
      </x:c>
      <x:c r="D71" s="52" t="str">
        <x:v>buslane</x:v>
      </x:c>
      <x:c r="E71" s="52" t="str">
        <x:v>Transit-priority lanes</x:v>
      </x:c>
      <x:c r="F71" s="58" t="n">
        <x:v>9603284</x:v>
      </x:c>
      <x:c r="G71" s="52" t="n">
        <x:v>4</x:v>
      </x:c>
      <x:c r="H71" s="52" t="str">
        <x:v>2 lane-miles</x:v>
      </x:c>
      <x:c r="I71" s="58" t="n">
        <x:v>360000</x:v>
      </x:c>
      <x:c r="J71" s="55" t="n">
        <x:v>0.45</x:v>
      </x:c>
      <x:c r="K71" s="58" t="n">
        <x:f>G71*I71</x:f>
        <x:v>1440000</x:v>
      </x:c>
      <x:c r="L71" s="58" t="n">
        <x:f>K71*J71</x:f>
        <x:v>648000</x:v>
      </x:c>
      <x:c r="M71" s="58" t="n">
        <x:f>K71-L71</x:f>
        <x:v>792000</x:v>
      </x:c>
      <x:c r="N71" s="61" t="n">
        <x:f>K71/F71</x:f>
        <x:v>0.14994870504714847</x:v>
      </x:c>
      <x:c r="O71" s="52" t="str">
        <x:v>cone- and paint-defined bus lane with enforcement</x:v>
      </x:c>
      <x:c r="P71" s="52" t="str">
        <x:v>dedicated or peak-period transit-priority lane</x:v>
      </x:c>
      <x:c r="Q71" s="52" t="n">
        <x:v>10</x:v>
      </x:c>
      <x:c r="R71" s="52" t="str">
        <x:v>engineering_assumption</x:v>
      </x:c>
      <x:c r="S71" s="52" t="str">
        <x:v>fta-wc26</x:v>
      </x:c>
      <x:c r="T71" s="52" t="str">
        <x:v>https://www.transit.dot.gov/funding/apportionments/fta-world-cup-funding-apportionment-table</x:v>
      </x:c>
    </x:row>
    <x:row r="72">
      <x:c r="A72" s="52" t="n">
        <x:v>6</x:v>
      </x:c>
      <x:c r="B72" s="52" t="str">
        <x:v>los-angeles</x:v>
      </x:c>
      <x:c r="C72" s="52" t="str">
        <x:v>Los Angeles</x:v>
      </x:c>
      <x:c r="D72" s="52" t="str">
        <x:v>signals</x:v>
      </x:c>
      <x:c r="E72" s="52" t="str">
        <x:v>Signal timing plans</x:v>
      </x:c>
      <x:c r="F72" s="58" t="n">
        <x:v>9603284</x:v>
      </x:c>
      <x:c r="G72" s="52" t="n">
        <x:v>4</x:v>
      </x:c>
      <x:c r="H72" s="52" t="str">
        <x:v>20 intersections</x:v>
      </x:c>
      <x:c r="I72" s="58" t="n">
        <x:v>90000</x:v>
      </x:c>
      <x:c r="J72" s="55" t="n">
        <x:v>0.25</x:v>
      </x:c>
      <x:c r="K72" s="58" t="n">
        <x:f>G72*I72</x:f>
        <x:v>360000</x:v>
      </x:c>
      <x:c r="L72" s="58" t="n">
        <x:f>K72*J72</x:f>
        <x:v>90000</x:v>
      </x:c>
      <x:c r="M72" s="58" t="n">
        <x:f>K72-L72</x:f>
        <x:v>270000</x:v>
      </x:c>
      <x:c r="N72" s="61" t="n">
        <x:f>K72/F72</x:f>
        <x:v>0.03748717626178712</x:v>
      </x:c>
      <x:c r="O72" s="52" t="str">
        <x:v>police/manual traffic control and temporary timing plan</x:v>
      </x:c>
      <x:c r="P72" s="52" t="str">
        <x:v>adaptive controllers and transit signal priority</x:v>
      </x:c>
      <x:c r="Q72" s="52" t="n">
        <x:v>10</x:v>
      </x:c>
      <x:c r="R72" s="52" t="str">
        <x:v>engineering_assumption</x:v>
      </x:c>
      <x:c r="S72" s="52" t="str">
        <x:v>fta-wc26</x:v>
      </x:c>
      <x:c r="T72" s="52" t="str">
        <x:v>https://www.transit.dot.gov/funding/apportionments/fta-world-cup-funding-apportionment-table</x:v>
      </x:c>
    </x:row>
    <x:row r="73">
      <x:c r="A73" s="52" t="n">
        <x:v>6</x:v>
      </x:c>
      <x:c r="B73" s="52" t="str">
        <x:v>los-angeles</x:v>
      </x:c>
      <x:c r="C73" s="52" t="str">
        <x:v>Los Angeles</x:v>
      </x:c>
      <x:c r="D73" s="52" t="str">
        <x:v>hub</x:v>
      </x:c>
      <x:c r="E73" s="52" t="str">
        <x:v>Hub-to-stadium shuttle package</x:v>
      </x:c>
      <x:c r="F73" s="58" t="n">
        <x:v>9603284</x:v>
      </x:c>
      <x:c r="G73" s="52" t="n">
        <x:v>3</x:v>
      </x:c>
      <x:c r="H73" s="52" t="str">
        <x:v>1 hub package</x:v>
      </x:c>
      <x:c r="I73" s="58" t="n">
        <x:v>750000</x:v>
      </x:c>
      <x:c r="J73" s="55" t="n">
        <x:v>0.4</x:v>
      </x:c>
      <x:c r="K73" s="58" t="n">
        <x:f>G73*I73</x:f>
        <x:v>2250000</x:v>
      </x:c>
      <x:c r="L73" s="58" t="n">
        <x:f>K73*J73</x:f>
        <x:v>900000</x:v>
      </x:c>
      <x:c r="M73" s="58" t="n">
        <x:f>K73-L73</x:f>
        <x:v>1350000</x:v>
      </x:c>
      <x:c r="N73" s="61" t="n">
        <x:f>K73/F73</x:f>
        <x:v>0.23429485163616945</x:v>
      </x:c>
      <x:c r="O73" s="52" t="str">
        <x:v>pop-up shuttle zone; temporary shelters and dispatch</x:v>
      </x:c>
      <x:c r="P73" s="52" t="str">
        <x:v>permanent multimodal mobility hub</x:v>
      </x:c>
      <x:c r="Q73" s="52" t="n">
        <x:v>15</x:v>
      </x:c>
      <x:c r="R73" s="52" t="str">
        <x:v>engineering_assumption</x:v>
      </x:c>
      <x:c r="S73" s="52" t="str">
        <x:v>fta-wc26</x:v>
      </x:c>
      <x:c r="T73" s="52" t="str">
        <x:v>https://www.transit.dot.gov/funding/apportionments/fta-world-cup-funding-apportionment-table</x:v>
      </x:c>
    </x:row>
    <x:row r="74">
      <x:c r="A74" s="52" t="n">
        <x:v>6</x:v>
      </x:c>
      <x:c r="B74" s="52" t="str">
        <x:v>los-angeles</x:v>
      </x:c>
      <x:c r="C74" s="52" t="str">
        <x:v>Los Angeles</x:v>
      </x:c>
      <x:c r="D74" s="52" t="str">
        <x:v>parkride</x:v>
      </x:c>
      <x:c r="E74" s="52" t="str">
        <x:v>Park-and-ride package</x:v>
      </x:c>
      <x:c r="F74" s="58" t="n">
        <x:v>9603284</x:v>
      </x:c>
      <x:c r="G74" s="52" t="n">
        <x:v>2</x:v>
      </x:c>
      <x:c r="H74" s="52" t="str">
        <x:v>500 spaces</x:v>
      </x:c>
      <x:c r="I74" s="58" t="n">
        <x:v>450000</x:v>
      </x:c>
      <x:c r="J74" s="55" t="n">
        <x:v>0.5</x:v>
      </x:c>
      <x:c r="K74" s="58" t="n">
        <x:f>G74*I74</x:f>
        <x:v>900000</x:v>
      </x:c>
      <x:c r="L74" s="58" t="n">
        <x:f>K74*J74</x:f>
        <x:v>450000</x:v>
      </x:c>
      <x:c r="M74" s="58" t="n">
        <x:f>K74-L74</x:f>
        <x:v>450000</x:v>
      </x:c>
      <x:c r="N74" s="61" t="n">
        <x:f>K74/F74</x:f>
        <x:v>0.09371794065446779</x:v>
      </x:c>
      <x:c r="O74" s="52" t="str">
        <x:v>leased intercept lots and temporary signing</x:v>
      </x:c>
      <x:c r="P74" s="52" t="str">
        <x:v>permanent park-and-ride with charging and transit access</x:v>
      </x:c>
      <x:c r="Q74" s="52" t="n">
        <x:v>5</x:v>
      </x:c>
      <x:c r="R74" s="52" t="str">
        <x:v>engineering_assumption</x:v>
      </x:c>
      <x:c r="S74" s="52" t="str">
        <x:v>fta-wc26</x:v>
      </x:c>
      <x:c r="T74" s="52" t="str">
        <x:v>https://www.transit.dot.gov/funding/apportionments/fta-world-cup-funding-apportionment-table</x:v>
      </x:c>
    </x:row>
    <x:row r="75">
      <x:c r="A75" s="52" t="n">
        <x:v>6</x:v>
      </x:c>
      <x:c r="B75" s="52" t="str">
        <x:v>los-angeles</x:v>
      </x:c>
      <x:c r="C75" s="52" t="str">
        <x:v>Los Angeles</x:v>
      </x:c>
      <x:c r="D75" s="52" t="str">
        <x:v>ped</x:v>
      </x:c>
      <x:c r="E75" s="52" t="str">
        <x:v>Protected pedestrian corridor</x:v>
      </x:c>
      <x:c r="F75" s="58" t="n">
        <x:v>9603284</x:v>
      </x:c>
      <x:c r="G75" s="52" t="n">
        <x:v>0</x:v>
      </x:c>
      <x:c r="H75" s="52" t="str">
        <x:v>1 tactical mile</x:v>
      </x:c>
      <x:c r="I75" s="58" t="n">
        <x:v>600000</x:v>
      </x:c>
      <x:c r="J75" s="55" t="n">
        <x:v>0.35</x:v>
      </x:c>
      <x:c r="K75" s="58" t="n">
        <x:f>G75*I75</x:f>
        <x:v>0</x:v>
      </x:c>
      <x:c r="L75" s="58" t="n">
        <x:f>K75*J75</x:f>
        <x:v>0</x:v>
      </x:c>
      <x:c r="M75" s="58" t="n">
        <x:f>K75-L75</x:f>
        <x:v>0</x:v>
      </x:c>
      <x:c r="N75" s="61" t="n">
        <x:f>K75/F75</x:f>
        <x:v>0</x:v>
      </x:c>
      <x:c r="O75" s="52" t="str">
        <x:v>barricaded protected corridor; marshals and lighting</x:v>
      </x:c>
      <x:c r="P75" s="52" t="str">
        <x:v>widened sidewalk; lighting; drainage and separation</x:v>
      </x:c>
      <x:c r="Q75" s="52" t="n">
        <x:v>15</x:v>
      </x:c>
      <x:c r="R75" s="52" t="str">
        <x:v>engineering_assumption</x:v>
      </x:c>
      <x:c r="S75" s="52" t="str">
        <x:v>fta-wc26</x:v>
      </x:c>
      <x:c r="T75" s="52" t="str">
        <x:v>https://www.transit.dot.gov/funding/apportionments/fta-world-cup-funding-apportionment-table</x:v>
      </x:c>
    </x:row>
    <x:row r="76">
      <x:c r="A76" s="52" t="n">
        <x:v>6</x:v>
      </x:c>
      <x:c r="B76" s="52" t="str">
        <x:v>los-angeles</x:v>
      </x:c>
      <x:c r="C76" s="52" t="str">
        <x:v>Los Angeles</x:v>
      </x:c>
      <x:c r="D76" s="52" t="str">
        <x:v>bike</x:v>
      </x:c>
      <x:c r="E76" s="52" t="str">
        <x:v>Protected bicycle access</x:v>
      </x:c>
      <x:c r="F76" s="58" t="n">
        <x:v>9603284</x:v>
      </x:c>
      <x:c r="G76" s="52" t="n">
        <x:v>0</x:v>
      </x:c>
      <x:c r="H76" s="52" t="str">
        <x:v>2 route-miles + parking</x:v>
      </x:c>
      <x:c r="I76" s="58" t="n">
        <x:v>650000</x:v>
      </x:c>
      <x:c r="J76" s="55" t="n">
        <x:v>0.35</x:v>
      </x:c>
      <x:c r="K76" s="58" t="n">
        <x:f>G76*I76</x:f>
        <x:v>0</x:v>
      </x:c>
      <x:c r="L76" s="58" t="n">
        <x:f>K76*J76</x:f>
        <x:v>0</x:v>
      </x:c>
      <x:c r="M76" s="58" t="n">
        <x:f>K76-L76</x:f>
        <x:v>0</x:v>
      </x:c>
      <x:c r="N76" s="61" t="n">
        <x:f>K76/F76</x:f>
        <x:v>0</x:v>
      </x:c>
      <x:c r="O76" s="52" t="str">
        <x:v>pop-up protected lane and attended bike valet</x:v>
      </x:c>
      <x:c r="P76" s="52" t="str">
        <x:v>protected bikeway and secure long-term parking</x:v>
      </x:c>
      <x:c r="Q76" s="52" t="n">
        <x:v>15</x:v>
      </x:c>
      <x:c r="R76" s="52" t="str">
        <x:v>engineering_assumption</x:v>
      </x:c>
      <x:c r="S76" s="52" t="str">
        <x:v>fta-wc26</x:v>
      </x:c>
      <x:c r="T76" s="52" t="str">
        <x:v>https://www.transit.dot.gov/funding/apportionments/fta-world-cup-funding-apportionment-table</x:v>
      </x:c>
    </x:row>
    <x:row r="77">
      <x:c r="A77" s="52" t="n">
        <x:v>6</x:v>
      </x:c>
      <x:c r="B77" s="52" t="str">
        <x:v>los-angeles</x:v>
      </x:c>
      <x:c r="C77" s="52" t="str">
        <x:v>Los Angeles</x:v>
      </x:c>
      <x:c r="D77" s="52" t="str">
        <x:v>tnc</x:v>
      </x:c>
      <x:c r="E77" s="52" t="str">
        <x:v>Managed rideshare hub</x:v>
      </x:c>
      <x:c r="F77" s="58" t="n">
        <x:v>9603284</x:v>
      </x:c>
      <x:c r="G77" s="52" t="n">
        <x:v>3</x:v>
      </x:c>
      <x:c r="H77" s="52" t="str">
        <x:v>1 staffed hub</x:v>
      </x:c>
      <x:c r="I77" s="58" t="n">
        <x:v>400000</x:v>
      </x:c>
      <x:c r="J77" s="55" t="n">
        <x:v>0.5</x:v>
      </x:c>
      <x:c r="K77" s="58" t="n">
        <x:f>G77*I77</x:f>
        <x:v>1200000</x:v>
      </x:c>
      <x:c r="L77" s="58" t="n">
        <x:f>K77*J77</x:f>
        <x:v>600000</x:v>
      </x:c>
      <x:c r="M77" s="58" t="n">
        <x:f>K77-L77</x:f>
        <x:v>600000</x:v>
      </x:c>
      <x:c r="N77" s="61" t="n">
        <x:f>K77/F77</x:f>
        <x:v>0.12495725420595705</x:v>
      </x:c>
      <x:c r="O77" s="52" t="str">
        <x:v>staffed geofenced pickup with temporary lane control</x:v>
      </x:c>
      <x:c r="P77" s="52" t="str">
        <x:v>off-street rideshare hub with accessible bays</x:v>
      </x:c>
      <x:c r="Q77" s="52" t="n">
        <x:v>10</x:v>
      </x:c>
      <x:c r="R77" s="52" t="str">
        <x:v>engineering_assumption</x:v>
      </x:c>
      <x:c r="S77" s="52" t="str">
        <x:v>fta-wc26</x:v>
      </x:c>
      <x:c r="T77" s="52" t="str">
        <x:v>https://www.transit.dot.gov/funding/apportionments/fta-world-cup-funding-apportionment-table</x:v>
      </x:c>
    </x:row>
    <x:row r="78">
      <x:c r="A78" s="52" t="n">
        <x:v>6</x:v>
      </x:c>
      <x:c r="B78" s="52" t="str">
        <x:v>los-angeles</x:v>
      </x:c>
      <x:c r="C78" s="52" t="str">
        <x:v>Los Angeles</x:v>
      </x:c>
      <x:c r="D78" s="52" t="str">
        <x:v>wayfinding</x:v>
      </x:c>
      <x:c r="E78" s="52" t="str">
        <x:v>Multilingual wayfinding</x:v>
      </x:c>
      <x:c r="F78" s="58" t="n">
        <x:v>9603284</x:v>
      </x:c>
      <x:c r="G78" s="52" t="n">
        <x:v>1</x:v>
      </x:c>
      <x:c r="H78" s="52" t="str">
        <x:v>city package</x:v>
      </x:c>
      <x:c r="I78" s="58" t="n">
        <x:v>300000</x:v>
      </x:c>
      <x:c r="J78" s="55" t="n">
        <x:v>0.45</x:v>
      </x:c>
      <x:c r="K78" s="58" t="n">
        <x:f>G78*I78</x:f>
        <x:v>300000</x:v>
      </x:c>
      <x:c r="L78" s="58" t="n">
        <x:f>K78*J78</x:f>
        <x:v>135000</x:v>
      </x:c>
      <x:c r="M78" s="58" t="n">
        <x:f>K78-L78</x:f>
        <x:v>165000</x:v>
      </x:c>
      <x:c r="N78" s="61" t="n">
        <x:f>K78/F78</x:f>
        <x:v>0.03123931355148926</x:v>
      </x:c>
      <x:c r="O78" s="52" t="str">
        <x:v>portable signs; digital messages; multilingual ambassadors</x:v>
      </x:c>
      <x:c r="P78" s="52" t="str">
        <x:v>fixed multilingual physical and digital wayfinding</x:v>
      </x:c>
      <x:c r="Q78" s="52" t="n">
        <x:v>7</x:v>
      </x:c>
      <x:c r="R78" s="52" t="str">
        <x:v>engineering_assumption</x:v>
      </x:c>
      <x:c r="S78" s="52" t="str">
        <x:v>fta-wc26</x:v>
      </x:c>
      <x:c r="T78" s="52" t="str">
        <x:v>https://www.transit.dot.gov/funding/apportionments/fta-world-cup-funding-apportionment-table</x:v>
      </x:c>
    </x:row>
    <x:row r="79">
      <x:c r="A79" s="52" t="n">
        <x:v>6</x:v>
      </x:c>
      <x:c r="B79" s="52" t="str">
        <x:v>los-angeles</x:v>
      </x:c>
      <x:c r="C79" s="52" t="str">
        <x:v>Los Angeles</x:v>
      </x:c>
      <x:c r="D79" s="52" t="str">
        <x:v>station</x:v>
      </x:c>
      <x:c r="E79" s="52" t="str">
        <x:v>Station-capacity package</x:v>
      </x:c>
      <x:c r="F79" s="58" t="n">
        <x:v>9603284</x:v>
      </x:c>
      <x:c r="G79" s="52" t="n">
        <x:v>0</x:v>
      </x:c>
      <x:c r="H79" s="52" t="str">
        <x:v>1 station</x:v>
      </x:c>
      <x:c r="I79" s="58" t="n">
        <x:v>1250000</x:v>
      </x:c>
      <x:c r="J79" s="55" t="n">
        <x:v>0.2</x:v>
      </x:c>
      <x:c r="K79" s="58" t="n">
        <x:f>G79*I79</x:f>
        <x:v>0</x:v>
      </x:c>
      <x:c r="L79" s="58" t="n">
        <x:f>K79*J79</x:f>
        <x:v>0</x:v>
      </x:c>
      <x:c r="M79" s="58" t="n">
        <x:f>K79-L79</x:f>
        <x:v>0</x:v>
      </x:c>
      <x:c r="N79" s="61" t="n">
        <x:f>K79/F79</x:f>
        <x:v>0</x:v>
      </x:c>
      <x:c r="O79" s="52" t="str">
        <x:v>temporary gates; queue barriers; portable fare equipment</x:v>
      </x:c>
      <x:c r="P79" s="52" t="str">
        <x:v>platform, entry and circulation expansion</x:v>
      </x:c>
      <x:c r="Q79" s="52" t="n">
        <x:v>25</x:v>
      </x:c>
      <x:c r="R79" s="52" t="str">
        <x:v>engineering_assumption</x:v>
      </x:c>
      <x:c r="S79" s="52" t="str">
        <x:v>fta-wc26</x:v>
      </x:c>
      <x:c r="T79" s="52" t="str">
        <x:v>https://www.transit.dot.gov/funding/apportionments/fta-world-cup-funding-apportionment-table</x:v>
      </x:c>
    </x:row>
    <x:row r="80">
      <x:c r="A80" s="52" t="n">
        <x:v>6</x:v>
      </x:c>
      <x:c r="B80" s="52" t="str">
        <x:v>los-angeles</x:v>
      </x:c>
      <x:c r="C80" s="52" t="str">
        <x:v>Los Angeles</x:v>
      </x:c>
      <x:c r="D80" s="52" t="str">
        <x:v>toc</x:v>
      </x:c>
      <x:c r="E80" s="52" t="str">
        <x:v>Integrated traffic operations</x:v>
      </x:c>
      <x:c r="F80" s="58" t="n">
        <x:v>9603284</x:v>
      </x:c>
      <x:c r="G80" s="52" t="n">
        <x:v>2</x:v>
      </x:c>
      <x:c r="H80" s="52" t="str">
        <x:v>city package</x:v>
      </x:c>
      <x:c r="I80" s="58" t="n">
        <x:v>750000</x:v>
      </x:c>
      <x:c r="J80" s="55" t="n">
        <x:v>0.25</x:v>
      </x:c>
      <x:c r="K80" s="58" t="n">
        <x:f>G80*I80</x:f>
        <x:v>1500000</x:v>
      </x:c>
      <x:c r="L80" s="58" t="n">
        <x:f>K80*J80</x:f>
        <x:v>375000</x:v>
      </x:c>
      <x:c r="M80" s="58" t="n">
        <x:f>K80-L80</x:f>
        <x:v>1125000</x:v>
      </x:c>
      <x:c r="N80" s="61" t="n">
        <x:f>K80/F80</x:f>
        <x:v>0.1561965677574463</x:v>
      </x:c>
      <x:c r="O80" s="52" t="str">
        <x:v>unified incident command and temporary sensor feeds</x:v>
      </x:c>
      <x:c r="P80" s="52" t="str">
        <x:v>integrated operations center and adaptive dispatch</x:v>
      </x:c>
      <x:c r="Q80" s="52" t="n">
        <x:v>10</x:v>
      </x:c>
      <x:c r="R80" s="52" t="str">
        <x:v>engineering_assumption</x:v>
      </x:c>
      <x:c r="S80" s="52" t="str">
        <x:v>fta-wc26</x:v>
      </x:c>
      <x:c r="T80" s="52" t="str">
        <x:v>https://www.transit.dot.gov/funding/apportionments/fta-world-cup-funding-apportionment-table</x:v>
      </x:c>
    </x:row>
    <x:row r="81">
      <x:c r="A81" s="52" t="n">
        <x:v>6</x:v>
      </x:c>
      <x:c r="B81" s="52" t="str">
        <x:v>los-angeles</x:v>
      </x:c>
      <x:c r="C81" s="52" t="str">
        <x:v>Los Angeles</x:v>
      </x:c>
      <x:c r="D81" s="52" t="str">
        <x:v>access</x:v>
      </x:c>
      <x:c r="E81" s="52" t="str">
        <x:v>ADA/microtransit access</x:v>
      </x:c>
      <x:c r="F81" s="58" t="n">
        <x:v>9603284</x:v>
      </x:c>
      <x:c r="G81" s="52" t="n">
        <x:v>0</x:v>
      </x:c>
      <x:c r="H81" s="52" t="str">
        <x:v>city package</x:v>
      </x:c>
      <x:c r="I81" s="58" t="n">
        <x:v>500000</x:v>
      </x:c>
      <x:c r="J81" s="55" t="n">
        <x:v>0.3</x:v>
      </x:c>
      <x:c r="K81" s="58" t="n">
        <x:f>G81*I81</x:f>
        <x:v>0</x:v>
      </x:c>
      <x:c r="L81" s="58" t="n">
        <x:f>K81*J81</x:f>
        <x:v>0</x:v>
      </x:c>
      <x:c r="M81" s="58" t="n">
        <x:f>K81-L81</x:f>
        <x:v>0</x:v>
      </x:c>
      <x:c r="N81" s="61" t="n">
        <x:f>K81/F81</x:f>
        <x:v>0</x:v>
      </x:c>
      <x:c r="O81" s="52" t="str">
        <x:v>accessible shuttles; temporary ramps and staffed assistance</x:v>
      </x:c>
      <x:c r="P81" s="52" t="str">
        <x:v>ADA ramps; tactile guidance; accessible first/last-mile network</x:v>
      </x:c>
      <x:c r="Q81" s="52" t="n">
        <x:v>15</x:v>
      </x:c>
      <x:c r="R81" s="52" t="str">
        <x:v>engineering_assumption</x:v>
      </x:c>
      <x:c r="S81" s="52" t="str">
        <x:v>fta-wc26</x:v>
      </x:c>
      <x:c r="T81" s="52" t="str">
        <x:v>https://www.transit.dot.gov/funding/apportionments/fta-world-cup-funding-apportionment-table</x:v>
      </x:c>
    </x:row>
    <x:row r="82">
      <x:c r="A82" s="57" t="n">
        <x:v>6</x:v>
      </x:c>
      <x:c r="B82" s="57" t="str">
        <x:v>los-angeles</x:v>
      </x:c>
      <x:c r="C82" s="57" t="str">
        <x:v>Los Angeles</x:v>
      </x:c>
      <x:c r="D82" s="57" t="str">
        <x:v>reserve</x:v>
      </x:c>
      <x:c r="E82" s="57" t="str">
        <x:v>Unassigned program reserve</x:v>
      </x:c>
      <x:c r="F82" s="59" t="n">
        <x:v>9603284</x:v>
      </x:c>
      <x:c r="G82" s="57" t="n">
        <x:v>1</x:v>
      </x:c>
      <x:c r="H82" s="57" t="str">
        <x:v>residual</x:v>
      </x:c>
      <x:c r="I82" s="59"/>
      <x:c r="J82" s="60" t="n">
        <x:v>0</x:v>
      </x:c>
      <x:c r="K82" s="59" t="n">
        <x:f>F82-SUM(K70:K81)</x:f>
        <x:v>3284</x:v>
      </x:c>
      <x:c r="L82" s="59" t="n">
        <x:v>0</x:v>
      </x:c>
      <x:c r="M82" s="59" t="n">
        <x:v>0</x:v>
      </x:c>
      <x:c r="N82" s="62" t="n">
        <x:f>K82/F82</x:f>
        <x:v>0.0003419663523436358</x:v>
      </x:c>
      <x:c r="O82" s="57" t="str">
        <x:v>Not committed in this demonstration model</x:v>
      </x:c>
      <x:c r="P82" s="57" t="str">
        <x:v>Release only after engineering, operations and contingency review</x:v>
      </x:c>
      <x:c r="Q82" s="57" t="n">
        <x:v>0</x:v>
      </x:c>
      <x:c r="R82" s="57" t="str">
        <x:v>formula_residual</x:v>
      </x:c>
      <x:c r="S82" s="57" t="str">
        <x:v>fta-wc26</x:v>
      </x:c>
      <x:c r="T82" s="57" t="str">
        <x:v>https://www.transit.dot.gov/funding/apportionments/fta-world-cup-funding-apportionment-table</x:v>
      </x:c>
    </x:row>
    <x:row r="83">
      <x:c r="A83" s="52" t="n">
        <x:v>7</x:v>
      </x:c>
      <x:c r="B83" s="52" t="str">
        <x:v>miami</x:v>
      </x:c>
      <x:c r="C83" s="52" t="str">
        <x:v>Miami</x:v>
      </x:c>
      <x:c r="D83" s="52" t="str">
        <x:v>service</x:v>
      </x:c>
      <x:c r="E83" s="52" t="str">
        <x:v>Extra transit service</x:v>
      </x:c>
      <x:c r="F83" s="58" t="n">
        <x:v>8697430</x:v>
      </x:c>
      <x:c r="G83" s="52" t="n">
        <x:v>3</x:v>
      </x:c>
      <x:c r="H83" s="52" t="str">
        <x:v>2,500 vehicle-hours</x:v>
      </x:c>
      <x:c r="I83" s="58" t="n">
        <x:v>550000</x:v>
      </x:c>
      <x:c r="J83" s="55" t="n">
        <x:v>0.8</x:v>
      </x:c>
      <x:c r="K83" s="58" t="n">
        <x:f>G83*I83</x:f>
        <x:v>1650000</x:v>
      </x:c>
      <x:c r="L83" s="58" t="n">
        <x:f>K83*J83</x:f>
        <x:v>1320000</x:v>
      </x:c>
      <x:c r="M83" s="58" t="n">
        <x:f>K83-L83</x:f>
        <x:v>330000</x:v>
      </x:c>
      <x:c r="N83" s="61" t="n">
        <x:f>K83/F83</x:f>
        <x:v>0.18971121354239126</x:v>
      </x:c>
      <x:c r="O83" s="52" t="str">
        <x:v>extra rail/bus vehicle-hours; standby operators; event timetable</x:v>
      </x:c>
      <x:c r="P83" s="52" t="str">
        <x:v>recurring major-event service plan; fleet and stabling readiness</x:v>
      </x:c>
      <x:c r="Q83" s="52" t="n">
        <x:v>1</x:v>
      </x:c>
      <x:c r="R83" s="52" t="str">
        <x:v>engineering_assumption</x:v>
      </x:c>
      <x:c r="S83" s="52" t="str">
        <x:v>fta-wc26</x:v>
      </x:c>
      <x:c r="T83" s="52" t="str">
        <x:v>https://www.transit.dot.gov/funding/apportionments/fta-world-cup-funding-apportionment-table</x:v>
      </x:c>
    </x:row>
    <x:row r="84">
      <x:c r="A84" s="52" t="n">
        <x:v>7</x:v>
      </x:c>
      <x:c r="B84" s="52" t="str">
        <x:v>miami</x:v>
      </x:c>
      <x:c r="C84" s="52" t="str">
        <x:v>Miami</x:v>
      </x:c>
      <x:c r="D84" s="52" t="str">
        <x:v>buslane</x:v>
      </x:c>
      <x:c r="E84" s="52" t="str">
        <x:v>Transit-priority lanes</x:v>
      </x:c>
      <x:c r="F84" s="58" t="n">
        <x:v>8697430</x:v>
      </x:c>
      <x:c r="G84" s="52" t="n">
        <x:v>4</x:v>
      </x:c>
      <x:c r="H84" s="52" t="str">
        <x:v>2 lane-miles</x:v>
      </x:c>
      <x:c r="I84" s="58" t="n">
        <x:v>360000</x:v>
      </x:c>
      <x:c r="J84" s="55" t="n">
        <x:v>0.45</x:v>
      </x:c>
      <x:c r="K84" s="58" t="n">
        <x:f>G84*I84</x:f>
        <x:v>1440000</x:v>
      </x:c>
      <x:c r="L84" s="58" t="n">
        <x:f>K84*J84</x:f>
        <x:v>648000</x:v>
      </x:c>
      <x:c r="M84" s="58" t="n">
        <x:f>K84-L84</x:f>
        <x:v>792000</x:v>
      </x:c>
      <x:c r="N84" s="61" t="n">
        <x:f>K84/F84</x:f>
        <x:v>0.16556615000063238</x:v>
      </x:c>
      <x:c r="O84" s="52" t="str">
        <x:v>cone- and paint-defined bus lane with enforcement</x:v>
      </x:c>
      <x:c r="P84" s="52" t="str">
        <x:v>dedicated or peak-period transit-priority lane</x:v>
      </x:c>
      <x:c r="Q84" s="52" t="n">
        <x:v>10</x:v>
      </x:c>
      <x:c r="R84" s="52" t="str">
        <x:v>engineering_assumption</x:v>
      </x:c>
      <x:c r="S84" s="52" t="str">
        <x:v>fta-wc26</x:v>
      </x:c>
      <x:c r="T84" s="52" t="str">
        <x:v>https://www.transit.dot.gov/funding/apportionments/fta-world-cup-funding-apportionment-table</x:v>
      </x:c>
    </x:row>
    <x:row r="85">
      <x:c r="A85" s="52" t="n">
        <x:v>7</x:v>
      </x:c>
      <x:c r="B85" s="52" t="str">
        <x:v>miami</x:v>
      </x:c>
      <x:c r="C85" s="52" t="str">
        <x:v>Miami</x:v>
      </x:c>
      <x:c r="D85" s="52" t="str">
        <x:v>signals</x:v>
      </x:c>
      <x:c r="E85" s="52" t="str">
        <x:v>Signal timing plans</x:v>
      </x:c>
      <x:c r="F85" s="58" t="n">
        <x:v>8697430</x:v>
      </x:c>
      <x:c r="G85" s="52" t="n">
        <x:v>3</x:v>
      </x:c>
      <x:c r="H85" s="52" t="str">
        <x:v>20 intersections</x:v>
      </x:c>
      <x:c r="I85" s="58" t="n">
        <x:v>90000</x:v>
      </x:c>
      <x:c r="J85" s="55" t="n">
        <x:v>0.25</x:v>
      </x:c>
      <x:c r="K85" s="58" t="n">
        <x:f>G85*I85</x:f>
        <x:v>270000</x:v>
      </x:c>
      <x:c r="L85" s="58" t="n">
        <x:f>K85*J85</x:f>
        <x:v>67500</x:v>
      </x:c>
      <x:c r="M85" s="58" t="n">
        <x:f>K85-L85</x:f>
        <x:v>202500</x:v>
      </x:c>
      <x:c r="N85" s="61" t="n">
        <x:f>K85/F85</x:f>
        <x:v>0.03104365312511857</x:v>
      </x:c>
      <x:c r="O85" s="52" t="str">
        <x:v>police/manual traffic control and temporary timing plan</x:v>
      </x:c>
      <x:c r="P85" s="52" t="str">
        <x:v>adaptive controllers and transit signal priority</x:v>
      </x:c>
      <x:c r="Q85" s="52" t="n">
        <x:v>10</x:v>
      </x:c>
      <x:c r="R85" s="52" t="str">
        <x:v>engineering_assumption</x:v>
      </x:c>
      <x:c r="S85" s="52" t="str">
        <x:v>fta-wc26</x:v>
      </x:c>
      <x:c r="T85" s="52" t="str">
        <x:v>https://www.transit.dot.gov/funding/apportionments/fta-world-cup-funding-apportionment-table</x:v>
      </x:c>
    </x:row>
    <x:row r="86">
      <x:c r="A86" s="52" t="n">
        <x:v>7</x:v>
      </x:c>
      <x:c r="B86" s="52" t="str">
        <x:v>miami</x:v>
      </x:c>
      <x:c r="C86" s="52" t="str">
        <x:v>Miami</x:v>
      </x:c>
      <x:c r="D86" s="52" t="str">
        <x:v>hub</x:v>
      </x:c>
      <x:c r="E86" s="52" t="str">
        <x:v>Hub-to-stadium shuttle package</x:v>
      </x:c>
      <x:c r="F86" s="58" t="n">
        <x:v>8697430</x:v>
      </x:c>
      <x:c r="G86" s="52" t="n">
        <x:v>3</x:v>
      </x:c>
      <x:c r="H86" s="52" t="str">
        <x:v>1 hub package</x:v>
      </x:c>
      <x:c r="I86" s="58" t="n">
        <x:v>750000</x:v>
      </x:c>
      <x:c r="J86" s="55" t="n">
        <x:v>0.4</x:v>
      </x:c>
      <x:c r="K86" s="58" t="n">
        <x:f>G86*I86</x:f>
        <x:v>2250000</x:v>
      </x:c>
      <x:c r="L86" s="58" t="n">
        <x:f>K86*J86</x:f>
        <x:v>900000</x:v>
      </x:c>
      <x:c r="M86" s="58" t="n">
        <x:f>K86-L86</x:f>
        <x:v>1350000</x:v>
      </x:c>
      <x:c r="N86" s="61" t="n">
        <x:f>K86/F86</x:f>
        <x:v>0.25869710937598805</x:v>
      </x:c>
      <x:c r="O86" s="52" t="str">
        <x:v>pop-up shuttle zone; temporary shelters and dispatch</x:v>
      </x:c>
      <x:c r="P86" s="52" t="str">
        <x:v>permanent multimodal mobility hub</x:v>
      </x:c>
      <x:c r="Q86" s="52" t="n">
        <x:v>15</x:v>
      </x:c>
      <x:c r="R86" s="52" t="str">
        <x:v>engineering_assumption</x:v>
      </x:c>
      <x:c r="S86" s="52" t="str">
        <x:v>fta-wc26</x:v>
      </x:c>
      <x:c r="T86" s="52" t="str">
        <x:v>https://www.transit.dot.gov/funding/apportionments/fta-world-cup-funding-apportionment-table</x:v>
      </x:c>
    </x:row>
    <x:row r="87">
      <x:c r="A87" s="52" t="n">
        <x:v>7</x:v>
      </x:c>
      <x:c r="B87" s="52" t="str">
        <x:v>miami</x:v>
      </x:c>
      <x:c r="C87" s="52" t="str">
        <x:v>Miami</x:v>
      </x:c>
      <x:c r="D87" s="52" t="str">
        <x:v>parkride</x:v>
      </x:c>
      <x:c r="E87" s="52" t="str">
        <x:v>Park-and-ride package</x:v>
      </x:c>
      <x:c r="F87" s="58" t="n">
        <x:v>8697430</x:v>
      </x:c>
      <x:c r="G87" s="52" t="n">
        <x:v>1</x:v>
      </x:c>
      <x:c r="H87" s="52" t="str">
        <x:v>500 spaces</x:v>
      </x:c>
      <x:c r="I87" s="58" t="n">
        <x:v>450000</x:v>
      </x:c>
      <x:c r="J87" s="55" t="n">
        <x:v>0.5</x:v>
      </x:c>
      <x:c r="K87" s="58" t="n">
        <x:f>G87*I87</x:f>
        <x:v>450000</x:v>
      </x:c>
      <x:c r="L87" s="58" t="n">
        <x:f>K87*J87</x:f>
        <x:v>225000</x:v>
      </x:c>
      <x:c r="M87" s="58" t="n">
        <x:f>K87-L87</x:f>
        <x:v>225000</x:v>
      </x:c>
      <x:c r="N87" s="61" t="n">
        <x:f>K87/F87</x:f>
        <x:v>0.051739421875197616</x:v>
      </x:c>
      <x:c r="O87" s="52" t="str">
        <x:v>leased intercept lots and temporary signing</x:v>
      </x:c>
      <x:c r="P87" s="52" t="str">
        <x:v>permanent park-and-ride with charging and transit access</x:v>
      </x:c>
      <x:c r="Q87" s="52" t="n">
        <x:v>5</x:v>
      </x:c>
      <x:c r="R87" s="52" t="str">
        <x:v>engineering_assumption</x:v>
      </x:c>
      <x:c r="S87" s="52" t="str">
        <x:v>fta-wc26</x:v>
      </x:c>
      <x:c r="T87" s="52" t="str">
        <x:v>https://www.transit.dot.gov/funding/apportionments/fta-world-cup-funding-apportionment-table</x:v>
      </x:c>
    </x:row>
    <x:row r="88">
      <x:c r="A88" s="52" t="n">
        <x:v>7</x:v>
      </x:c>
      <x:c r="B88" s="52" t="str">
        <x:v>miami</x:v>
      </x:c>
      <x:c r="C88" s="52" t="str">
        <x:v>Miami</x:v>
      </x:c>
      <x:c r="D88" s="52" t="str">
        <x:v>ped</x:v>
      </x:c>
      <x:c r="E88" s="52" t="str">
        <x:v>Protected pedestrian corridor</x:v>
      </x:c>
      <x:c r="F88" s="58" t="n">
        <x:v>8697430</x:v>
      </x:c>
      <x:c r="G88" s="52" t="n">
        <x:v>0</x:v>
      </x:c>
      <x:c r="H88" s="52" t="str">
        <x:v>1 tactical mile</x:v>
      </x:c>
      <x:c r="I88" s="58" t="n">
        <x:v>600000</x:v>
      </x:c>
      <x:c r="J88" s="55" t="n">
        <x:v>0.35</x:v>
      </x:c>
      <x:c r="K88" s="58" t="n">
        <x:f>G88*I88</x:f>
        <x:v>0</x:v>
      </x:c>
      <x:c r="L88" s="58" t="n">
        <x:f>K88*J88</x:f>
        <x:v>0</x:v>
      </x:c>
      <x:c r="M88" s="58" t="n">
        <x:f>K88-L88</x:f>
        <x:v>0</x:v>
      </x:c>
      <x:c r="N88" s="61" t="n">
        <x:f>K88/F88</x:f>
        <x:v>0</x:v>
      </x:c>
      <x:c r="O88" s="52" t="str">
        <x:v>barricaded protected corridor; marshals and lighting</x:v>
      </x:c>
      <x:c r="P88" s="52" t="str">
        <x:v>widened sidewalk; lighting; drainage and separation</x:v>
      </x:c>
      <x:c r="Q88" s="52" t="n">
        <x:v>15</x:v>
      </x:c>
      <x:c r="R88" s="52" t="str">
        <x:v>engineering_assumption</x:v>
      </x:c>
      <x:c r="S88" s="52" t="str">
        <x:v>fta-wc26</x:v>
      </x:c>
      <x:c r="T88" s="52" t="str">
        <x:v>https://www.transit.dot.gov/funding/apportionments/fta-world-cup-funding-apportionment-table</x:v>
      </x:c>
    </x:row>
    <x:row r="89">
      <x:c r="A89" s="52" t="n">
        <x:v>7</x:v>
      </x:c>
      <x:c r="B89" s="52" t="str">
        <x:v>miami</x:v>
      </x:c>
      <x:c r="C89" s="52" t="str">
        <x:v>Miami</x:v>
      </x:c>
      <x:c r="D89" s="52" t="str">
        <x:v>bike</x:v>
      </x:c>
      <x:c r="E89" s="52" t="str">
        <x:v>Protected bicycle access</x:v>
      </x:c>
      <x:c r="F89" s="58" t="n">
        <x:v>8697430</x:v>
      </x:c>
      <x:c r="G89" s="52" t="n">
        <x:v>0</x:v>
      </x:c>
      <x:c r="H89" s="52" t="str">
        <x:v>2 route-miles + parking</x:v>
      </x:c>
      <x:c r="I89" s="58" t="n">
        <x:v>650000</x:v>
      </x:c>
      <x:c r="J89" s="55" t="n">
        <x:v>0.35</x:v>
      </x:c>
      <x:c r="K89" s="58" t="n">
        <x:f>G89*I89</x:f>
        <x:v>0</x:v>
      </x:c>
      <x:c r="L89" s="58" t="n">
        <x:f>K89*J89</x:f>
        <x:v>0</x:v>
      </x:c>
      <x:c r="M89" s="58" t="n">
        <x:f>K89-L89</x:f>
        <x:v>0</x:v>
      </x:c>
      <x:c r="N89" s="61" t="n">
        <x:f>K89/F89</x:f>
        <x:v>0</x:v>
      </x:c>
      <x:c r="O89" s="52" t="str">
        <x:v>pop-up protected lane and attended bike valet</x:v>
      </x:c>
      <x:c r="P89" s="52" t="str">
        <x:v>protected bikeway and secure long-term parking</x:v>
      </x:c>
      <x:c r="Q89" s="52" t="n">
        <x:v>15</x:v>
      </x:c>
      <x:c r="R89" s="52" t="str">
        <x:v>engineering_assumption</x:v>
      </x:c>
      <x:c r="S89" s="52" t="str">
        <x:v>fta-wc26</x:v>
      </x:c>
      <x:c r="T89" s="52" t="str">
        <x:v>https://www.transit.dot.gov/funding/apportionments/fta-world-cup-funding-apportionment-table</x:v>
      </x:c>
    </x:row>
    <x:row r="90">
      <x:c r="A90" s="52" t="n">
        <x:v>7</x:v>
      </x:c>
      <x:c r="B90" s="52" t="str">
        <x:v>miami</x:v>
      </x:c>
      <x:c r="C90" s="52" t="str">
        <x:v>Miami</x:v>
      </x:c>
      <x:c r="D90" s="52" t="str">
        <x:v>tnc</x:v>
      </x:c>
      <x:c r="E90" s="52" t="str">
        <x:v>Managed rideshare hub</x:v>
      </x:c>
      <x:c r="F90" s="58" t="n">
        <x:v>8697430</x:v>
      </x:c>
      <x:c r="G90" s="52" t="n">
        <x:v>2</x:v>
      </x:c>
      <x:c r="H90" s="52" t="str">
        <x:v>1 staffed hub</x:v>
      </x:c>
      <x:c r="I90" s="58" t="n">
        <x:v>400000</x:v>
      </x:c>
      <x:c r="J90" s="55" t="n">
        <x:v>0.5</x:v>
      </x:c>
      <x:c r="K90" s="58" t="n">
        <x:f>G90*I90</x:f>
        <x:v>800000</x:v>
      </x:c>
      <x:c r="L90" s="58" t="n">
        <x:f>K90*J90</x:f>
        <x:v>400000</x:v>
      </x:c>
      <x:c r="M90" s="58" t="n">
        <x:f>K90-L90</x:f>
        <x:v>400000</x:v>
      </x:c>
      <x:c r="N90" s="61" t="n">
        <x:f>K90/F90</x:f>
        <x:v>0.09198119444479576</x:v>
      </x:c>
      <x:c r="O90" s="52" t="str">
        <x:v>staffed geofenced pickup with temporary lane control</x:v>
      </x:c>
      <x:c r="P90" s="52" t="str">
        <x:v>off-street rideshare hub with accessible bays</x:v>
      </x:c>
      <x:c r="Q90" s="52" t="n">
        <x:v>10</x:v>
      </x:c>
      <x:c r="R90" s="52" t="str">
        <x:v>engineering_assumption</x:v>
      </x:c>
      <x:c r="S90" s="52" t="str">
        <x:v>fta-wc26</x:v>
      </x:c>
      <x:c r="T90" s="52" t="str">
        <x:v>https://www.transit.dot.gov/funding/apportionments/fta-world-cup-funding-apportionment-table</x:v>
      </x:c>
    </x:row>
    <x:row r="91">
      <x:c r="A91" s="52" t="n">
        <x:v>7</x:v>
      </x:c>
      <x:c r="B91" s="52" t="str">
        <x:v>miami</x:v>
      </x:c>
      <x:c r="C91" s="52" t="str">
        <x:v>Miami</x:v>
      </x:c>
      <x:c r="D91" s="52" t="str">
        <x:v>wayfinding</x:v>
      </x:c>
      <x:c r="E91" s="52" t="str">
        <x:v>Multilingual wayfinding</x:v>
      </x:c>
      <x:c r="F91" s="58" t="n">
        <x:v>8697430</x:v>
      </x:c>
      <x:c r="G91" s="52" t="n">
        <x:v>1</x:v>
      </x:c>
      <x:c r="H91" s="52" t="str">
        <x:v>city package</x:v>
      </x:c>
      <x:c r="I91" s="58" t="n">
        <x:v>300000</x:v>
      </x:c>
      <x:c r="J91" s="55" t="n">
        <x:v>0.45</x:v>
      </x:c>
      <x:c r="K91" s="58" t="n">
        <x:f>G91*I91</x:f>
        <x:v>300000</x:v>
      </x:c>
      <x:c r="L91" s="58" t="n">
        <x:f>K91*J91</x:f>
        <x:v>135000</x:v>
      </x:c>
      <x:c r="M91" s="58" t="n">
        <x:f>K91-L91</x:f>
        <x:v>165000</x:v>
      </x:c>
      <x:c r="N91" s="61" t="n">
        <x:f>K91/F91</x:f>
        <x:v>0.03449294791679841</x:v>
      </x:c>
      <x:c r="O91" s="52" t="str">
        <x:v>portable signs; digital messages; multilingual ambassadors</x:v>
      </x:c>
      <x:c r="P91" s="52" t="str">
        <x:v>fixed multilingual physical and digital wayfinding</x:v>
      </x:c>
      <x:c r="Q91" s="52" t="n">
        <x:v>7</x:v>
      </x:c>
      <x:c r="R91" s="52" t="str">
        <x:v>engineering_assumption</x:v>
      </x:c>
      <x:c r="S91" s="52" t="str">
        <x:v>fta-wc26</x:v>
      </x:c>
      <x:c r="T91" s="52" t="str">
        <x:v>https://www.transit.dot.gov/funding/apportionments/fta-world-cup-funding-apportionment-table</x:v>
      </x:c>
    </x:row>
    <x:row r="92">
      <x:c r="A92" s="52" t="n">
        <x:v>7</x:v>
      </x:c>
      <x:c r="B92" s="52" t="str">
        <x:v>miami</x:v>
      </x:c>
      <x:c r="C92" s="52" t="str">
        <x:v>Miami</x:v>
      </x:c>
      <x:c r="D92" s="52" t="str">
        <x:v>station</x:v>
      </x:c>
      <x:c r="E92" s="52" t="str">
        <x:v>Station-capacity package</x:v>
      </x:c>
      <x:c r="F92" s="58" t="n">
        <x:v>8697430</x:v>
      </x:c>
      <x:c r="G92" s="52" t="n">
        <x:v>0</x:v>
      </x:c>
      <x:c r="H92" s="52" t="str">
        <x:v>1 station</x:v>
      </x:c>
      <x:c r="I92" s="58" t="n">
        <x:v>1250000</x:v>
      </x:c>
      <x:c r="J92" s="55" t="n">
        <x:v>0.2</x:v>
      </x:c>
      <x:c r="K92" s="58" t="n">
        <x:f>G92*I92</x:f>
        <x:v>0</x:v>
      </x:c>
      <x:c r="L92" s="58" t="n">
        <x:f>K92*J92</x:f>
        <x:v>0</x:v>
      </x:c>
      <x:c r="M92" s="58" t="n">
        <x:f>K92-L92</x:f>
        <x:v>0</x:v>
      </x:c>
      <x:c r="N92" s="61" t="n">
        <x:f>K92/F92</x:f>
        <x:v>0</x:v>
      </x:c>
      <x:c r="O92" s="52" t="str">
        <x:v>temporary gates; queue barriers; portable fare equipment</x:v>
      </x:c>
      <x:c r="P92" s="52" t="str">
        <x:v>platform, entry and circulation expansion</x:v>
      </x:c>
      <x:c r="Q92" s="52" t="n">
        <x:v>25</x:v>
      </x:c>
      <x:c r="R92" s="52" t="str">
        <x:v>engineering_assumption</x:v>
      </x:c>
      <x:c r="S92" s="52" t="str">
        <x:v>fta-wc26</x:v>
      </x:c>
      <x:c r="T92" s="52" t="str">
        <x:v>https://www.transit.dot.gov/funding/apportionments/fta-world-cup-funding-apportionment-table</x:v>
      </x:c>
    </x:row>
    <x:row r="93">
      <x:c r="A93" s="52" t="n">
        <x:v>7</x:v>
      </x:c>
      <x:c r="B93" s="52" t="str">
        <x:v>miami</x:v>
      </x:c>
      <x:c r="C93" s="52" t="str">
        <x:v>Miami</x:v>
      </x:c>
      <x:c r="D93" s="52" t="str">
        <x:v>toc</x:v>
      </x:c>
      <x:c r="E93" s="52" t="str">
        <x:v>Integrated traffic operations</x:v>
      </x:c>
      <x:c r="F93" s="58" t="n">
        <x:v>8697430</x:v>
      </x:c>
      <x:c r="G93" s="52" t="n">
        <x:v>2</x:v>
      </x:c>
      <x:c r="H93" s="52" t="str">
        <x:v>city package</x:v>
      </x:c>
      <x:c r="I93" s="58" t="n">
        <x:v>750000</x:v>
      </x:c>
      <x:c r="J93" s="55" t="n">
        <x:v>0.25</x:v>
      </x:c>
      <x:c r="K93" s="58" t="n">
        <x:f>G93*I93</x:f>
        <x:v>1500000</x:v>
      </x:c>
      <x:c r="L93" s="58" t="n">
        <x:f>K93*J93</x:f>
        <x:v>375000</x:v>
      </x:c>
      <x:c r="M93" s="58" t="n">
        <x:f>K93-L93</x:f>
        <x:v>1125000</x:v>
      </x:c>
      <x:c r="N93" s="61" t="n">
        <x:f>K93/F93</x:f>
        <x:v>0.17246473958399205</x:v>
      </x:c>
      <x:c r="O93" s="52" t="str">
        <x:v>unified incident command and temporary sensor feeds</x:v>
      </x:c>
      <x:c r="P93" s="52" t="str">
        <x:v>integrated operations center and adaptive dispatch</x:v>
      </x:c>
      <x:c r="Q93" s="52" t="n">
        <x:v>10</x:v>
      </x:c>
      <x:c r="R93" s="52" t="str">
        <x:v>engineering_assumption</x:v>
      </x:c>
      <x:c r="S93" s="52" t="str">
        <x:v>fta-wc26</x:v>
      </x:c>
      <x:c r="T93" s="52" t="str">
        <x:v>https://www.transit.dot.gov/funding/apportionments/fta-world-cup-funding-apportionment-table</x:v>
      </x:c>
    </x:row>
    <x:row r="94">
      <x:c r="A94" s="52" t="n">
        <x:v>7</x:v>
      </x:c>
      <x:c r="B94" s="52" t="str">
        <x:v>miami</x:v>
      </x:c>
      <x:c r="C94" s="52" t="str">
        <x:v>Miami</x:v>
      </x:c>
      <x:c r="D94" s="52" t="str">
        <x:v>access</x:v>
      </x:c>
      <x:c r="E94" s="52" t="str">
        <x:v>ADA/microtransit access</x:v>
      </x:c>
      <x:c r="F94" s="58" t="n">
        <x:v>8697430</x:v>
      </x:c>
      <x:c r="G94" s="52" t="n">
        <x:v>0</x:v>
      </x:c>
      <x:c r="H94" s="52" t="str">
        <x:v>city package</x:v>
      </x:c>
      <x:c r="I94" s="58" t="n">
        <x:v>500000</x:v>
      </x:c>
      <x:c r="J94" s="55" t="n">
        <x:v>0.3</x:v>
      </x:c>
      <x:c r="K94" s="58" t="n">
        <x:f>G94*I94</x:f>
        <x:v>0</x:v>
      </x:c>
      <x:c r="L94" s="58" t="n">
        <x:f>K94*J94</x:f>
        <x:v>0</x:v>
      </x:c>
      <x:c r="M94" s="58" t="n">
        <x:f>K94-L94</x:f>
        <x:v>0</x:v>
      </x:c>
      <x:c r="N94" s="61" t="n">
        <x:f>K94/F94</x:f>
        <x:v>0</x:v>
      </x:c>
      <x:c r="O94" s="52" t="str">
        <x:v>accessible shuttles; temporary ramps and staffed assistance</x:v>
      </x:c>
      <x:c r="P94" s="52" t="str">
        <x:v>ADA ramps; tactile guidance; accessible first/last-mile network</x:v>
      </x:c>
      <x:c r="Q94" s="52" t="n">
        <x:v>15</x:v>
      </x:c>
      <x:c r="R94" s="52" t="str">
        <x:v>engineering_assumption</x:v>
      </x:c>
      <x:c r="S94" s="52" t="str">
        <x:v>fta-wc26</x:v>
      </x:c>
      <x:c r="T94" s="52" t="str">
        <x:v>https://www.transit.dot.gov/funding/apportionments/fta-world-cup-funding-apportionment-table</x:v>
      </x:c>
    </x:row>
    <x:row r="95">
      <x:c r="A95" s="57" t="n">
        <x:v>7</x:v>
      </x:c>
      <x:c r="B95" s="57" t="str">
        <x:v>miami</x:v>
      </x:c>
      <x:c r="C95" s="57" t="str">
        <x:v>Miami</x:v>
      </x:c>
      <x:c r="D95" s="57" t="str">
        <x:v>reserve</x:v>
      </x:c>
      <x:c r="E95" s="57" t="str">
        <x:v>Unassigned program reserve</x:v>
      </x:c>
      <x:c r="F95" s="59" t="n">
        <x:v>8697430</x:v>
      </x:c>
      <x:c r="G95" s="57" t="n">
        <x:v>1</x:v>
      </x:c>
      <x:c r="H95" s="57" t="str">
        <x:v>residual</x:v>
      </x:c>
      <x:c r="I95" s="59"/>
      <x:c r="J95" s="60" t="n">
        <x:v>0</x:v>
      </x:c>
      <x:c r="K95" s="59" t="n">
        <x:f>F95-SUM(K83:K94)</x:f>
        <x:v>37430</x:v>
      </x:c>
      <x:c r="L95" s="59" t="n">
        <x:v>0</x:v>
      </x:c>
      <x:c r="M95" s="59" t="n">
        <x:v>0</x:v>
      </x:c>
      <x:c r="N95" s="62" t="n">
        <x:f>K95/F95</x:f>
        <x:v>0.004303570135085881</x:v>
      </x:c>
      <x:c r="O95" s="57" t="str">
        <x:v>Not committed in this demonstration model</x:v>
      </x:c>
      <x:c r="P95" s="57" t="str">
        <x:v>Release only after engineering, operations and contingency review</x:v>
      </x:c>
      <x:c r="Q95" s="57" t="n">
        <x:v>0</x:v>
      </x:c>
      <x:c r="R95" s="57" t="str">
        <x:v>formula_residual</x:v>
      </x:c>
      <x:c r="S95" s="57" t="str">
        <x:v>fta-wc26</x:v>
      </x:c>
      <x:c r="T95" s="57" t="str">
        <x:v>https://www.transit.dot.gov/funding/apportionments/fta-world-cup-funding-apportionment-table</x:v>
      </x:c>
    </x:row>
    <x:row r="96">
      <x:c r="A96" s="52" t="n">
        <x:v>8</x:v>
      </x:c>
      <x:c r="B96" s="52" t="str">
        <x:v>nynj</x:v>
      </x:c>
      <x:c r="C96" s="52" t="str">
        <x:v>New York/New Jersey</x:v>
      </x:c>
      <x:c r="D96" s="52" t="str">
        <x:v>service</x:v>
      </x:c>
      <x:c r="E96" s="52" t="str">
        <x:v>Extra transit service</x:v>
      </x:c>
      <x:c r="F96" s="58" t="n">
        <x:v>10438681</x:v>
      </x:c>
      <x:c r="G96" s="52" t="n">
        <x:v>3</x:v>
      </x:c>
      <x:c r="H96" s="52" t="str">
        <x:v>2,500 vehicle-hours</x:v>
      </x:c>
      <x:c r="I96" s="58" t="n">
        <x:v>550000</x:v>
      </x:c>
      <x:c r="J96" s="55" t="n">
        <x:v>0.8</x:v>
      </x:c>
      <x:c r="K96" s="58" t="n">
        <x:f>G96*I96</x:f>
        <x:v>1650000</x:v>
      </x:c>
      <x:c r="L96" s="58" t="n">
        <x:f>K96*J96</x:f>
        <x:v>1320000</x:v>
      </x:c>
      <x:c r="M96" s="58" t="n">
        <x:f>K96-L96</x:f>
        <x:v>330000</x:v>
      </x:c>
      <x:c r="N96" s="61" t="n">
        <x:f>K96/F96</x:f>
        <x:v>0.15806594722072645</x:v>
      </x:c>
      <x:c r="O96" s="52" t="str">
        <x:v>extra rail/bus vehicle-hours; standby operators; event timetable</x:v>
      </x:c>
      <x:c r="P96" s="52" t="str">
        <x:v>recurring major-event service plan; fleet and stabling readiness</x:v>
      </x:c>
      <x:c r="Q96" s="52" t="n">
        <x:v>1</x:v>
      </x:c>
      <x:c r="R96" s="52" t="str">
        <x:v>engineering_assumption</x:v>
      </x:c>
      <x:c r="S96" s="52" t="str">
        <x:v>fta-wc26</x:v>
      </x:c>
      <x:c r="T96" s="52" t="str">
        <x:v>https://www.transit.dot.gov/funding/apportionments/fta-world-cup-funding-apportionment-table</x:v>
      </x:c>
    </x:row>
    <x:row r="97">
      <x:c r="A97" s="52" t="n">
        <x:v>8</x:v>
      </x:c>
      <x:c r="B97" s="52" t="str">
        <x:v>nynj</x:v>
      </x:c>
      <x:c r="C97" s="52" t="str">
        <x:v>New York/New Jersey</x:v>
      </x:c>
      <x:c r="D97" s="52" t="str">
        <x:v>buslane</x:v>
      </x:c>
      <x:c r="E97" s="52" t="str">
        <x:v>Transit-priority lanes</x:v>
      </x:c>
      <x:c r="F97" s="58" t="n">
        <x:v>10438681</x:v>
      </x:c>
      <x:c r="G97" s="52" t="n">
        <x:v>2</x:v>
      </x:c>
      <x:c r="H97" s="52" t="str">
        <x:v>2 lane-miles</x:v>
      </x:c>
      <x:c r="I97" s="58" t="n">
        <x:v>360000</x:v>
      </x:c>
      <x:c r="J97" s="55" t="n">
        <x:v>0.45</x:v>
      </x:c>
      <x:c r="K97" s="58" t="n">
        <x:f>G97*I97</x:f>
        <x:v>720000</x:v>
      </x:c>
      <x:c r="L97" s="58" t="n">
        <x:f>K97*J97</x:f>
        <x:v>324000</x:v>
      </x:c>
      <x:c r="M97" s="58" t="n">
        <x:f>K97-L97</x:f>
        <x:v>396000</x:v>
      </x:c>
      <x:c r="N97" s="61" t="n">
        <x:f>K97/F97</x:f>
        <x:v>0.06897423151449882</x:v>
      </x:c>
      <x:c r="O97" s="52" t="str">
        <x:v>cone- and paint-defined bus lane with enforcement</x:v>
      </x:c>
      <x:c r="P97" s="52" t="str">
        <x:v>dedicated or peak-period transit-priority lane</x:v>
      </x:c>
      <x:c r="Q97" s="52" t="n">
        <x:v>10</x:v>
      </x:c>
      <x:c r="R97" s="52" t="str">
        <x:v>engineering_assumption</x:v>
      </x:c>
      <x:c r="S97" s="52" t="str">
        <x:v>fta-wc26</x:v>
      </x:c>
      <x:c r="T97" s="52" t="str">
        <x:v>https://www.transit.dot.gov/funding/apportionments/fta-world-cup-funding-apportionment-table</x:v>
      </x:c>
    </x:row>
    <x:row r="98">
      <x:c r="A98" s="52" t="n">
        <x:v>8</x:v>
      </x:c>
      <x:c r="B98" s="52" t="str">
        <x:v>nynj</x:v>
      </x:c>
      <x:c r="C98" s="52" t="str">
        <x:v>New York/New Jersey</x:v>
      </x:c>
      <x:c r="D98" s="52" t="str">
        <x:v>signals</x:v>
      </x:c>
      <x:c r="E98" s="52" t="str">
        <x:v>Signal timing plans</x:v>
      </x:c>
      <x:c r="F98" s="58" t="n">
        <x:v>10438681</x:v>
      </x:c>
      <x:c r="G98" s="52" t="n">
        <x:v>4</x:v>
      </x:c>
      <x:c r="H98" s="52" t="str">
        <x:v>20 intersections</x:v>
      </x:c>
      <x:c r="I98" s="58" t="n">
        <x:v>90000</x:v>
      </x:c>
      <x:c r="J98" s="55" t="n">
        <x:v>0.25</x:v>
      </x:c>
      <x:c r="K98" s="58" t="n">
        <x:f>G98*I98</x:f>
        <x:v>360000</x:v>
      </x:c>
      <x:c r="L98" s="58" t="n">
        <x:f>K98*J98</x:f>
        <x:v>90000</x:v>
      </x:c>
      <x:c r="M98" s="58" t="n">
        <x:f>K98-L98</x:f>
        <x:v>270000</x:v>
      </x:c>
      <x:c r="N98" s="61" t="n">
        <x:f>K98/F98</x:f>
        <x:v>0.03448711575724941</x:v>
      </x:c>
      <x:c r="O98" s="52" t="str">
        <x:v>police/manual traffic control and temporary timing plan</x:v>
      </x:c>
      <x:c r="P98" s="52" t="str">
        <x:v>adaptive controllers and transit signal priority</x:v>
      </x:c>
      <x:c r="Q98" s="52" t="n">
        <x:v>10</x:v>
      </x:c>
      <x:c r="R98" s="52" t="str">
        <x:v>engineering_assumption</x:v>
      </x:c>
      <x:c r="S98" s="52" t="str">
        <x:v>fta-wc26</x:v>
      </x:c>
      <x:c r="T98" s="52" t="str">
        <x:v>https://www.transit.dot.gov/funding/apportionments/fta-world-cup-funding-apportionment-table</x:v>
      </x:c>
    </x:row>
    <x:row r="99">
      <x:c r="A99" s="52" t="n">
        <x:v>8</x:v>
      </x:c>
      <x:c r="B99" s="52" t="str">
        <x:v>nynj</x:v>
      </x:c>
      <x:c r="C99" s="52" t="str">
        <x:v>New York/New Jersey</x:v>
      </x:c>
      <x:c r="D99" s="52" t="str">
        <x:v>hub</x:v>
      </x:c>
      <x:c r="E99" s="52" t="str">
        <x:v>Hub-to-stadium shuttle package</x:v>
      </x:c>
      <x:c r="F99" s="58" t="n">
        <x:v>10438681</x:v>
      </x:c>
      <x:c r="G99" s="52" t="n">
        <x:v>2</x:v>
      </x:c>
      <x:c r="H99" s="52" t="str">
        <x:v>1 hub package</x:v>
      </x:c>
      <x:c r="I99" s="58" t="n">
        <x:v>750000</x:v>
      </x:c>
      <x:c r="J99" s="55" t="n">
        <x:v>0.4</x:v>
      </x:c>
      <x:c r="K99" s="58" t="n">
        <x:f>G99*I99</x:f>
        <x:v>1500000</x:v>
      </x:c>
      <x:c r="L99" s="58" t="n">
        <x:f>K99*J99</x:f>
        <x:v>600000</x:v>
      </x:c>
      <x:c r="M99" s="58" t="n">
        <x:f>K99-L99</x:f>
        <x:v>900000</x:v>
      </x:c>
      <x:c r="N99" s="61" t="n">
        <x:f>K99/F99</x:f>
        <x:v>0.14369631565520585</x:v>
      </x:c>
      <x:c r="O99" s="52" t="str">
        <x:v>pop-up shuttle zone; temporary shelters and dispatch</x:v>
      </x:c>
      <x:c r="P99" s="52" t="str">
        <x:v>permanent multimodal mobility hub</x:v>
      </x:c>
      <x:c r="Q99" s="52" t="n">
        <x:v>15</x:v>
      </x:c>
      <x:c r="R99" s="52" t="str">
        <x:v>engineering_assumption</x:v>
      </x:c>
      <x:c r="S99" s="52" t="str">
        <x:v>fta-wc26</x:v>
      </x:c>
      <x:c r="T99" s="52" t="str">
        <x:v>https://www.transit.dot.gov/funding/apportionments/fta-world-cup-funding-apportionment-table</x:v>
      </x:c>
    </x:row>
    <x:row r="100">
      <x:c r="A100" s="52" t="n">
        <x:v>8</x:v>
      </x:c>
      <x:c r="B100" s="52" t="str">
        <x:v>nynj</x:v>
      </x:c>
      <x:c r="C100" s="52" t="str">
        <x:v>New York/New Jersey</x:v>
      </x:c>
      <x:c r="D100" s="52" t="str">
        <x:v>parkride</x:v>
      </x:c>
      <x:c r="E100" s="52" t="str">
        <x:v>Park-and-ride package</x:v>
      </x:c>
      <x:c r="F100" s="58" t="n">
        <x:v>10438681</x:v>
      </x:c>
      <x:c r="G100" s="52" t="n">
        <x:v>0</x:v>
      </x:c>
      <x:c r="H100" s="52" t="str">
        <x:v>500 spaces</x:v>
      </x:c>
      <x:c r="I100" s="58" t="n">
        <x:v>450000</x:v>
      </x:c>
      <x:c r="J100" s="55" t="n">
        <x:v>0.5</x:v>
      </x:c>
      <x:c r="K100" s="58" t="n">
        <x:f>G100*I100</x:f>
        <x:v>0</x:v>
      </x:c>
      <x:c r="L100" s="58" t="n">
        <x:f>K100*J100</x:f>
        <x:v>0</x:v>
      </x:c>
      <x:c r="M100" s="58" t="n">
        <x:f>K100-L100</x:f>
        <x:v>0</x:v>
      </x:c>
      <x:c r="N100" s="61" t="n">
        <x:f>K100/F100</x:f>
        <x:v>0</x:v>
      </x:c>
      <x:c r="O100" s="52" t="str">
        <x:v>leased intercept lots and temporary signing</x:v>
      </x:c>
      <x:c r="P100" s="52" t="str">
        <x:v>permanent park-and-ride with charging and transit access</x:v>
      </x:c>
      <x:c r="Q100" s="52" t="n">
        <x:v>5</x:v>
      </x:c>
      <x:c r="R100" s="52" t="str">
        <x:v>engineering_assumption</x:v>
      </x:c>
      <x:c r="S100" s="52" t="str">
        <x:v>fta-wc26</x:v>
      </x:c>
      <x:c r="T100" s="52" t="str">
        <x:v>https://www.transit.dot.gov/funding/apportionments/fta-world-cup-funding-apportionment-table</x:v>
      </x:c>
    </x:row>
    <x:row r="101">
      <x:c r="A101" s="52" t="n">
        <x:v>8</x:v>
      </x:c>
      <x:c r="B101" s="52" t="str">
        <x:v>nynj</x:v>
      </x:c>
      <x:c r="C101" s="52" t="str">
        <x:v>New York/New Jersey</x:v>
      </x:c>
      <x:c r="D101" s="52" t="str">
        <x:v>ped</x:v>
      </x:c>
      <x:c r="E101" s="52" t="str">
        <x:v>Protected pedestrian corridor</x:v>
      </x:c>
      <x:c r="F101" s="58" t="n">
        <x:v>10438681</x:v>
      </x:c>
      <x:c r="G101" s="52" t="n">
        <x:v>1</x:v>
      </x:c>
      <x:c r="H101" s="52" t="str">
        <x:v>1 tactical mile</x:v>
      </x:c>
      <x:c r="I101" s="58" t="n">
        <x:v>600000</x:v>
      </x:c>
      <x:c r="J101" s="55" t="n">
        <x:v>0.35</x:v>
      </x:c>
      <x:c r="K101" s="58" t="n">
        <x:f>G101*I101</x:f>
        <x:v>600000</x:v>
      </x:c>
      <x:c r="L101" s="58" t="n">
        <x:f>K101*J101</x:f>
        <x:v>210000</x:v>
      </x:c>
      <x:c r="M101" s="58" t="n">
        <x:f>K101-L101</x:f>
        <x:v>390000</x:v>
      </x:c>
      <x:c r="N101" s="61" t="n">
        <x:f>K101/F101</x:f>
        <x:v>0.057478526262082344</x:v>
      </x:c>
      <x:c r="O101" s="52" t="str">
        <x:v>barricaded protected corridor; marshals and lighting</x:v>
      </x:c>
      <x:c r="P101" s="52" t="str">
        <x:v>widened sidewalk; lighting; drainage and separation</x:v>
      </x:c>
      <x:c r="Q101" s="52" t="n">
        <x:v>15</x:v>
      </x:c>
      <x:c r="R101" s="52" t="str">
        <x:v>engineering_assumption</x:v>
      </x:c>
      <x:c r="S101" s="52" t="str">
        <x:v>fta-wc26</x:v>
      </x:c>
      <x:c r="T101" s="52" t="str">
        <x:v>https://www.transit.dot.gov/funding/apportionments/fta-world-cup-funding-apportionment-table</x:v>
      </x:c>
    </x:row>
    <x:row r="102">
      <x:c r="A102" s="52" t="n">
        <x:v>8</x:v>
      </x:c>
      <x:c r="B102" s="52" t="str">
        <x:v>nynj</x:v>
      </x:c>
      <x:c r="C102" s="52" t="str">
        <x:v>New York/New Jersey</x:v>
      </x:c>
      <x:c r="D102" s="52" t="str">
        <x:v>bike</x:v>
      </x:c>
      <x:c r="E102" s="52" t="str">
        <x:v>Protected bicycle access</x:v>
      </x:c>
      <x:c r="F102" s="58" t="n">
        <x:v>10438681</x:v>
      </x:c>
      <x:c r="G102" s="52" t="n">
        <x:v>0</x:v>
      </x:c>
      <x:c r="H102" s="52" t="str">
        <x:v>2 route-miles + parking</x:v>
      </x:c>
      <x:c r="I102" s="58" t="n">
        <x:v>650000</x:v>
      </x:c>
      <x:c r="J102" s="55" t="n">
        <x:v>0.35</x:v>
      </x:c>
      <x:c r="K102" s="58" t="n">
        <x:f>G102*I102</x:f>
        <x:v>0</x:v>
      </x:c>
      <x:c r="L102" s="58" t="n">
        <x:f>K102*J102</x:f>
        <x:v>0</x:v>
      </x:c>
      <x:c r="M102" s="58" t="n">
        <x:f>K102-L102</x:f>
        <x:v>0</x:v>
      </x:c>
      <x:c r="N102" s="61" t="n">
        <x:f>K102/F102</x:f>
        <x:v>0</x:v>
      </x:c>
      <x:c r="O102" s="52" t="str">
        <x:v>pop-up protected lane and attended bike valet</x:v>
      </x:c>
      <x:c r="P102" s="52" t="str">
        <x:v>protected bikeway and secure long-term parking</x:v>
      </x:c>
      <x:c r="Q102" s="52" t="n">
        <x:v>15</x:v>
      </x:c>
      <x:c r="R102" s="52" t="str">
        <x:v>engineering_assumption</x:v>
      </x:c>
      <x:c r="S102" s="52" t="str">
        <x:v>fta-wc26</x:v>
      </x:c>
      <x:c r="T102" s="52" t="str">
        <x:v>https://www.transit.dot.gov/funding/apportionments/fta-world-cup-funding-apportionment-table</x:v>
      </x:c>
    </x:row>
    <x:row r="103">
      <x:c r="A103" s="52" t="n">
        <x:v>8</x:v>
      </x:c>
      <x:c r="B103" s="52" t="str">
        <x:v>nynj</x:v>
      </x:c>
      <x:c r="C103" s="52" t="str">
        <x:v>New York/New Jersey</x:v>
      </x:c>
      <x:c r="D103" s="52" t="str">
        <x:v>tnc</x:v>
      </x:c>
      <x:c r="E103" s="52" t="str">
        <x:v>Managed rideshare hub</x:v>
      </x:c>
      <x:c r="F103" s="58" t="n">
        <x:v>10438681</x:v>
      </x:c>
      <x:c r="G103" s="52" t="n">
        <x:v>3</x:v>
      </x:c>
      <x:c r="H103" s="52" t="str">
        <x:v>1 staffed hub</x:v>
      </x:c>
      <x:c r="I103" s="58" t="n">
        <x:v>400000</x:v>
      </x:c>
      <x:c r="J103" s="55" t="n">
        <x:v>0.5</x:v>
      </x:c>
      <x:c r="K103" s="58" t="n">
        <x:f>G103*I103</x:f>
        <x:v>1200000</x:v>
      </x:c>
      <x:c r="L103" s="58" t="n">
        <x:f>K103*J103</x:f>
        <x:v>600000</x:v>
      </x:c>
      <x:c r="M103" s="58" t="n">
        <x:f>K103-L103</x:f>
        <x:v>600000</x:v>
      </x:c>
      <x:c r="N103" s="61" t="n">
        <x:f>K103/F103</x:f>
        <x:v>0.11495705252416469</x:v>
      </x:c>
      <x:c r="O103" s="52" t="str">
        <x:v>staffed geofenced pickup with temporary lane control</x:v>
      </x:c>
      <x:c r="P103" s="52" t="str">
        <x:v>off-street rideshare hub with accessible bays</x:v>
      </x:c>
      <x:c r="Q103" s="52" t="n">
        <x:v>10</x:v>
      </x:c>
      <x:c r="R103" s="52" t="str">
        <x:v>engineering_assumption</x:v>
      </x:c>
      <x:c r="S103" s="52" t="str">
        <x:v>fta-wc26</x:v>
      </x:c>
      <x:c r="T103" s="52" t="str">
        <x:v>https://www.transit.dot.gov/funding/apportionments/fta-world-cup-funding-apportionment-table</x:v>
      </x:c>
    </x:row>
    <x:row r="104">
      <x:c r="A104" s="52" t="n">
        <x:v>8</x:v>
      </x:c>
      <x:c r="B104" s="52" t="str">
        <x:v>nynj</x:v>
      </x:c>
      <x:c r="C104" s="52" t="str">
        <x:v>New York/New Jersey</x:v>
      </x:c>
      <x:c r="D104" s="52" t="str">
        <x:v>wayfinding</x:v>
      </x:c>
      <x:c r="E104" s="52" t="str">
        <x:v>Multilingual wayfinding</x:v>
      </x:c>
      <x:c r="F104" s="58" t="n">
        <x:v>10438681</x:v>
      </x:c>
      <x:c r="G104" s="52" t="n">
        <x:v>1</x:v>
      </x:c>
      <x:c r="H104" s="52" t="str">
        <x:v>city package</x:v>
      </x:c>
      <x:c r="I104" s="58" t="n">
        <x:v>300000</x:v>
      </x:c>
      <x:c r="J104" s="55" t="n">
        <x:v>0.45</x:v>
      </x:c>
      <x:c r="K104" s="58" t="n">
        <x:f>G104*I104</x:f>
        <x:v>300000</x:v>
      </x:c>
      <x:c r="L104" s="58" t="n">
        <x:f>K104*J104</x:f>
        <x:v>135000</x:v>
      </x:c>
      <x:c r="M104" s="58" t="n">
        <x:f>K104-L104</x:f>
        <x:v>165000</x:v>
      </x:c>
      <x:c r="N104" s="61" t="n">
        <x:f>K104/F104</x:f>
        <x:v>0.028739263131041172</x:v>
      </x:c>
      <x:c r="O104" s="52" t="str">
        <x:v>portable signs; digital messages; multilingual ambassadors</x:v>
      </x:c>
      <x:c r="P104" s="52" t="str">
        <x:v>fixed multilingual physical and digital wayfinding</x:v>
      </x:c>
      <x:c r="Q104" s="52" t="n">
        <x:v>7</x:v>
      </x:c>
      <x:c r="R104" s="52" t="str">
        <x:v>engineering_assumption</x:v>
      </x:c>
      <x:c r="S104" s="52" t="str">
        <x:v>fta-wc26</x:v>
      </x:c>
      <x:c r="T104" s="52" t="str">
        <x:v>https://www.transit.dot.gov/funding/apportionments/fta-world-cup-funding-apportionment-table</x:v>
      </x:c>
    </x:row>
    <x:row r="105">
      <x:c r="A105" s="52" t="n">
        <x:v>8</x:v>
      </x:c>
      <x:c r="B105" s="52" t="str">
        <x:v>nynj</x:v>
      </x:c>
      <x:c r="C105" s="52" t="str">
        <x:v>New York/New Jersey</x:v>
      </x:c>
      <x:c r="D105" s="52" t="str">
        <x:v>station</x:v>
      </x:c>
      <x:c r="E105" s="52" t="str">
        <x:v>Station-capacity package</x:v>
      </x:c>
      <x:c r="F105" s="58" t="n">
        <x:v>10438681</x:v>
      </x:c>
      <x:c r="G105" s="52" t="n">
        <x:v>2</x:v>
      </x:c>
      <x:c r="H105" s="52" t="str">
        <x:v>1 station</x:v>
      </x:c>
      <x:c r="I105" s="58" t="n">
        <x:v>1250000</x:v>
      </x:c>
      <x:c r="J105" s="55" t="n">
        <x:v>0.2</x:v>
      </x:c>
      <x:c r="K105" s="58" t="n">
        <x:f>G105*I105</x:f>
        <x:v>2500000</x:v>
      </x:c>
      <x:c r="L105" s="58" t="n">
        <x:f>K105*J105</x:f>
        <x:v>500000</x:v>
      </x:c>
      <x:c r="M105" s="58" t="n">
        <x:f>K105-L105</x:f>
        <x:v>2000000</x:v>
      </x:c>
      <x:c r="N105" s="61" t="n">
        <x:f>K105/F105</x:f>
        <x:v>0.2394938594253431</x:v>
      </x:c>
      <x:c r="O105" s="52" t="str">
        <x:v>temporary gates; queue barriers; portable fare equipment</x:v>
      </x:c>
      <x:c r="P105" s="52" t="str">
        <x:v>platform, entry and circulation expansion</x:v>
      </x:c>
      <x:c r="Q105" s="52" t="n">
        <x:v>25</x:v>
      </x:c>
      <x:c r="R105" s="52" t="str">
        <x:v>engineering_assumption</x:v>
      </x:c>
      <x:c r="S105" s="52" t="str">
        <x:v>fta-wc26</x:v>
      </x:c>
      <x:c r="T105" s="52" t="str">
        <x:v>https://www.transit.dot.gov/funding/apportionments/fta-world-cup-funding-apportionment-table</x:v>
      </x:c>
    </x:row>
    <x:row r="106">
      <x:c r="A106" s="52" t="n">
        <x:v>8</x:v>
      </x:c>
      <x:c r="B106" s="52" t="str">
        <x:v>nynj</x:v>
      </x:c>
      <x:c r="C106" s="52" t="str">
        <x:v>New York/New Jersey</x:v>
      </x:c>
      <x:c r="D106" s="52" t="str">
        <x:v>toc</x:v>
      </x:c>
      <x:c r="E106" s="52" t="str">
        <x:v>Integrated traffic operations</x:v>
      </x:c>
      <x:c r="F106" s="58" t="n">
        <x:v>10438681</x:v>
      </x:c>
      <x:c r="G106" s="52" t="n">
        <x:v>2</x:v>
      </x:c>
      <x:c r="H106" s="52" t="str">
        <x:v>city package</x:v>
      </x:c>
      <x:c r="I106" s="58" t="n">
        <x:v>750000</x:v>
      </x:c>
      <x:c r="J106" s="55" t="n">
        <x:v>0.25</x:v>
      </x:c>
      <x:c r="K106" s="58" t="n">
        <x:f>G106*I106</x:f>
        <x:v>1500000</x:v>
      </x:c>
      <x:c r="L106" s="58" t="n">
        <x:f>K106*J106</x:f>
        <x:v>375000</x:v>
      </x:c>
      <x:c r="M106" s="58" t="n">
        <x:f>K106-L106</x:f>
        <x:v>1125000</x:v>
      </x:c>
      <x:c r="N106" s="61" t="n">
        <x:f>K106/F106</x:f>
        <x:v>0.14369631565520585</x:v>
      </x:c>
      <x:c r="O106" s="52" t="str">
        <x:v>unified incident command and temporary sensor feeds</x:v>
      </x:c>
      <x:c r="P106" s="52" t="str">
        <x:v>integrated operations center and adaptive dispatch</x:v>
      </x:c>
      <x:c r="Q106" s="52" t="n">
        <x:v>10</x:v>
      </x:c>
      <x:c r="R106" s="52" t="str">
        <x:v>engineering_assumption</x:v>
      </x:c>
      <x:c r="S106" s="52" t="str">
        <x:v>fta-wc26</x:v>
      </x:c>
      <x:c r="T106" s="52" t="str">
        <x:v>https://www.transit.dot.gov/funding/apportionments/fta-world-cup-funding-apportionment-table</x:v>
      </x:c>
    </x:row>
    <x:row r="107">
      <x:c r="A107" s="52" t="n">
        <x:v>8</x:v>
      </x:c>
      <x:c r="B107" s="52" t="str">
        <x:v>nynj</x:v>
      </x:c>
      <x:c r="C107" s="52" t="str">
        <x:v>New York/New Jersey</x:v>
      </x:c>
      <x:c r="D107" s="52" t="str">
        <x:v>access</x:v>
      </x:c>
      <x:c r="E107" s="52" t="str">
        <x:v>ADA/microtransit access</x:v>
      </x:c>
      <x:c r="F107" s="58" t="n">
        <x:v>10438681</x:v>
      </x:c>
      <x:c r="G107" s="52" t="n">
        <x:v>0</x:v>
      </x:c>
      <x:c r="H107" s="52" t="str">
        <x:v>city package</x:v>
      </x:c>
      <x:c r="I107" s="58" t="n">
        <x:v>500000</x:v>
      </x:c>
      <x:c r="J107" s="55" t="n">
        <x:v>0.3</x:v>
      </x:c>
      <x:c r="K107" s="58" t="n">
        <x:f>G107*I107</x:f>
        <x:v>0</x:v>
      </x:c>
      <x:c r="L107" s="58" t="n">
        <x:f>K107*J107</x:f>
        <x:v>0</x:v>
      </x:c>
      <x:c r="M107" s="58" t="n">
        <x:f>K107-L107</x:f>
        <x:v>0</x:v>
      </x:c>
      <x:c r="N107" s="61" t="n">
        <x:f>K107/F107</x:f>
        <x:v>0</x:v>
      </x:c>
      <x:c r="O107" s="52" t="str">
        <x:v>accessible shuttles; temporary ramps and staffed assistance</x:v>
      </x:c>
      <x:c r="P107" s="52" t="str">
        <x:v>ADA ramps; tactile guidance; accessible first/last-mile network</x:v>
      </x:c>
      <x:c r="Q107" s="52" t="n">
        <x:v>15</x:v>
      </x:c>
      <x:c r="R107" s="52" t="str">
        <x:v>engineering_assumption</x:v>
      </x:c>
      <x:c r="S107" s="52" t="str">
        <x:v>fta-wc26</x:v>
      </x:c>
      <x:c r="T107" s="52" t="str">
        <x:v>https://www.transit.dot.gov/funding/apportionments/fta-world-cup-funding-apportionment-table</x:v>
      </x:c>
    </x:row>
    <x:row r="108">
      <x:c r="A108" s="57" t="n">
        <x:v>8</x:v>
      </x:c>
      <x:c r="B108" s="57" t="str">
        <x:v>nynj</x:v>
      </x:c>
      <x:c r="C108" s="57" t="str">
        <x:v>New York/New Jersey</x:v>
      </x:c>
      <x:c r="D108" s="57" t="str">
        <x:v>reserve</x:v>
      </x:c>
      <x:c r="E108" s="57" t="str">
        <x:v>Unassigned program reserve</x:v>
      </x:c>
      <x:c r="F108" s="59" t="n">
        <x:v>10438681</x:v>
      </x:c>
      <x:c r="G108" s="57" t="n">
        <x:v>1</x:v>
      </x:c>
      <x:c r="H108" s="57" t="str">
        <x:v>residual</x:v>
      </x:c>
      <x:c r="I108" s="59"/>
      <x:c r="J108" s="60" t="n">
        <x:v>0</x:v>
      </x:c>
      <x:c r="K108" s="59" t="n">
        <x:f>F108-SUM(K96:K107)</x:f>
        <x:v>108681</x:v>
      </x:c>
      <x:c r="L108" s="59" t="n">
        <x:v>0</x:v>
      </x:c>
      <x:c r="M108" s="59" t="n">
        <x:v>0</x:v>
      </x:c>
      <x:c r="N108" s="62" t="n">
        <x:f>K108/F108</x:f>
        <x:v>0.010411372854482286</x:v>
      </x:c>
      <x:c r="O108" s="57" t="str">
        <x:v>Not committed in this demonstration model</x:v>
      </x:c>
      <x:c r="P108" s="57" t="str">
        <x:v>Release only after engineering, operations and contingency review</x:v>
      </x:c>
      <x:c r="Q108" s="57" t="n">
        <x:v>0</x:v>
      </x:c>
      <x:c r="R108" s="57" t="str">
        <x:v>formula_residual</x:v>
      </x:c>
      <x:c r="S108" s="57" t="str">
        <x:v>fta-wc26</x:v>
      </x:c>
      <x:c r="T108" s="57" t="str">
        <x:v>https://www.transit.dot.gov/funding/apportionments/fta-world-cup-funding-apportionment-table</x:v>
      </x:c>
    </x:row>
    <x:row r="109">
      <x:c r="A109" s="52" t="n">
        <x:v>9</x:v>
      </x:c>
      <x:c r="B109" s="52" t="str">
        <x:v>philadelphia</x:v>
      </x:c>
      <x:c r="C109" s="52" t="str">
        <x:v>Philadelphia</x:v>
      </x:c>
      <x:c r="D109" s="52" t="str">
        <x:v>service</x:v>
      </x:c>
      <x:c r="E109" s="52" t="str">
        <x:v>Extra transit service</x:v>
      </x:c>
      <x:c r="F109" s="58" t="n">
        <x:v>8474327</x:v>
      </x:c>
      <x:c r="G109" s="52" t="n">
        <x:v>3</x:v>
      </x:c>
      <x:c r="H109" s="52" t="str">
        <x:v>2,500 vehicle-hours</x:v>
      </x:c>
      <x:c r="I109" s="58" t="n">
        <x:v>550000</x:v>
      </x:c>
      <x:c r="J109" s="55" t="n">
        <x:v>0.8</x:v>
      </x:c>
      <x:c r="K109" s="58" t="n">
        <x:f>G109*I109</x:f>
        <x:v>1650000</x:v>
      </x:c>
      <x:c r="L109" s="58" t="n">
        <x:f>K109*J109</x:f>
        <x:v>1320000</x:v>
      </x:c>
      <x:c r="M109" s="58" t="n">
        <x:f>K109-L109</x:f>
        <x:v>330000</x:v>
      </x:c>
      <x:c r="N109" s="61" t="n">
        <x:f>K109/F109</x:f>
        <x:v>0.19470572707425615</x:v>
      </x:c>
      <x:c r="O109" s="52" t="str">
        <x:v>extra rail/bus vehicle-hours; standby operators; event timetable</x:v>
      </x:c>
      <x:c r="P109" s="52" t="str">
        <x:v>recurring major-event service plan; fleet and stabling readiness</x:v>
      </x:c>
      <x:c r="Q109" s="52" t="n">
        <x:v>1</x:v>
      </x:c>
      <x:c r="R109" s="52" t="str">
        <x:v>engineering_assumption</x:v>
      </x:c>
      <x:c r="S109" s="52" t="str">
        <x:v>fta-wc26</x:v>
      </x:c>
      <x:c r="T109" s="52" t="str">
        <x:v>https://www.transit.dot.gov/funding/apportionments/fta-world-cup-funding-apportionment-table</x:v>
      </x:c>
    </x:row>
    <x:row r="110">
      <x:c r="A110" s="52" t="n">
        <x:v>9</x:v>
      </x:c>
      <x:c r="B110" s="52" t="str">
        <x:v>philadelphia</x:v>
      </x:c>
      <x:c r="C110" s="52" t="str">
        <x:v>Philadelphia</x:v>
      </x:c>
      <x:c r="D110" s="52" t="str">
        <x:v>buslane</x:v>
      </x:c>
      <x:c r="E110" s="52" t="str">
        <x:v>Transit-priority lanes</x:v>
      </x:c>
      <x:c r="F110" s="58" t="n">
        <x:v>8474327</x:v>
      </x:c>
      <x:c r="G110" s="52" t="n">
        <x:v>3</x:v>
      </x:c>
      <x:c r="H110" s="52" t="str">
        <x:v>2 lane-miles</x:v>
      </x:c>
      <x:c r="I110" s="58" t="n">
        <x:v>360000</x:v>
      </x:c>
      <x:c r="J110" s="55" t="n">
        <x:v>0.45</x:v>
      </x:c>
      <x:c r="K110" s="58" t="n">
        <x:f>G110*I110</x:f>
        <x:v>1080000</x:v>
      </x:c>
      <x:c r="L110" s="58" t="n">
        <x:f>K110*J110</x:f>
        <x:v>486000</x:v>
      </x:c>
      <x:c r="M110" s="58" t="n">
        <x:f>K110-L110</x:f>
        <x:v>594000</x:v>
      </x:c>
      <x:c r="N110" s="61" t="n">
        <x:f>K110/F110</x:f>
        <x:v>0.1274437486304222</x:v>
      </x:c>
      <x:c r="O110" s="52" t="str">
        <x:v>cone- and paint-defined bus lane with enforcement</x:v>
      </x:c>
      <x:c r="P110" s="52" t="str">
        <x:v>dedicated or peak-period transit-priority lane</x:v>
      </x:c>
      <x:c r="Q110" s="52" t="n">
        <x:v>10</x:v>
      </x:c>
      <x:c r="R110" s="52" t="str">
        <x:v>engineering_assumption</x:v>
      </x:c>
      <x:c r="S110" s="52" t="str">
        <x:v>fta-wc26</x:v>
      </x:c>
      <x:c r="T110" s="52" t="str">
        <x:v>https://www.transit.dot.gov/funding/apportionments/fta-world-cup-funding-apportionment-table</x:v>
      </x:c>
    </x:row>
    <x:row r="111">
      <x:c r="A111" s="52" t="n">
        <x:v>9</x:v>
      </x:c>
      <x:c r="B111" s="52" t="str">
        <x:v>philadelphia</x:v>
      </x:c>
      <x:c r="C111" s="52" t="str">
        <x:v>Philadelphia</x:v>
      </x:c>
      <x:c r="D111" s="52" t="str">
        <x:v>signals</x:v>
      </x:c>
      <x:c r="E111" s="52" t="str">
        <x:v>Signal timing plans</x:v>
      </x:c>
      <x:c r="F111" s="58" t="n">
        <x:v>8474327</x:v>
      </x:c>
      <x:c r="G111" s="52" t="n">
        <x:v>3</x:v>
      </x:c>
      <x:c r="H111" s="52" t="str">
        <x:v>20 intersections</x:v>
      </x:c>
      <x:c r="I111" s="58" t="n">
        <x:v>90000</x:v>
      </x:c>
      <x:c r="J111" s="55" t="n">
        <x:v>0.25</x:v>
      </x:c>
      <x:c r="K111" s="58" t="n">
        <x:f>G111*I111</x:f>
        <x:v>270000</x:v>
      </x:c>
      <x:c r="L111" s="58" t="n">
        <x:f>K111*J111</x:f>
        <x:v>67500</x:v>
      </x:c>
      <x:c r="M111" s="58" t="n">
        <x:f>K111-L111</x:f>
        <x:v>202500</x:v>
      </x:c>
      <x:c r="N111" s="61" t="n">
        <x:f>K111/F111</x:f>
        <x:v>0.03186093715760555</x:v>
      </x:c>
      <x:c r="O111" s="52" t="str">
        <x:v>police/manual traffic control and temporary timing plan</x:v>
      </x:c>
      <x:c r="P111" s="52" t="str">
        <x:v>adaptive controllers and transit signal priority</x:v>
      </x:c>
      <x:c r="Q111" s="52" t="n">
        <x:v>10</x:v>
      </x:c>
      <x:c r="R111" s="52" t="str">
        <x:v>engineering_assumption</x:v>
      </x:c>
      <x:c r="S111" s="52" t="str">
        <x:v>fta-wc26</x:v>
      </x:c>
      <x:c r="T111" s="52" t="str">
        <x:v>https://www.transit.dot.gov/funding/apportionments/fta-world-cup-funding-apportionment-table</x:v>
      </x:c>
    </x:row>
    <x:row r="112">
      <x:c r="A112" s="52" t="n">
        <x:v>9</x:v>
      </x:c>
      <x:c r="B112" s="52" t="str">
        <x:v>philadelphia</x:v>
      </x:c>
      <x:c r="C112" s="52" t="str">
        <x:v>Philadelphia</x:v>
      </x:c>
      <x:c r="D112" s="52" t="str">
        <x:v>hub</x:v>
      </x:c>
      <x:c r="E112" s="52" t="str">
        <x:v>Hub-to-stadium shuttle package</x:v>
      </x:c>
      <x:c r="F112" s="58" t="n">
        <x:v>8474327</x:v>
      </x:c>
      <x:c r="G112" s="52" t="n">
        <x:v>1</x:v>
      </x:c>
      <x:c r="H112" s="52" t="str">
        <x:v>1 hub package</x:v>
      </x:c>
      <x:c r="I112" s="58" t="n">
        <x:v>750000</x:v>
      </x:c>
      <x:c r="J112" s="55" t="n">
        <x:v>0.4</x:v>
      </x:c>
      <x:c r="K112" s="58" t="n">
        <x:f>G112*I112</x:f>
        <x:v>750000</x:v>
      </x:c>
      <x:c r="L112" s="58" t="n">
        <x:f>K112*J112</x:f>
        <x:v>300000</x:v>
      </x:c>
      <x:c r="M112" s="58" t="n">
        <x:f>K112-L112</x:f>
        <x:v>450000</x:v>
      </x:c>
      <x:c r="N112" s="61" t="n">
        <x:f>K112/F112</x:f>
        <x:v>0.08850260321557098</x:v>
      </x:c>
      <x:c r="O112" s="52" t="str">
        <x:v>pop-up shuttle zone; temporary shelters and dispatch</x:v>
      </x:c>
      <x:c r="P112" s="52" t="str">
        <x:v>permanent multimodal mobility hub</x:v>
      </x:c>
      <x:c r="Q112" s="52" t="n">
        <x:v>15</x:v>
      </x:c>
      <x:c r="R112" s="52" t="str">
        <x:v>engineering_assumption</x:v>
      </x:c>
      <x:c r="S112" s="52" t="str">
        <x:v>fta-wc26</x:v>
      </x:c>
      <x:c r="T112" s="52" t="str">
        <x:v>https://www.transit.dot.gov/funding/apportionments/fta-world-cup-funding-apportionment-table</x:v>
      </x:c>
    </x:row>
    <x:row r="113">
      <x:c r="A113" s="52" t="n">
        <x:v>9</x:v>
      </x:c>
      <x:c r="B113" s="52" t="str">
        <x:v>philadelphia</x:v>
      </x:c>
      <x:c r="C113" s="52" t="str">
        <x:v>Philadelphia</x:v>
      </x:c>
      <x:c r="D113" s="52" t="str">
        <x:v>parkride</x:v>
      </x:c>
      <x:c r="E113" s="52" t="str">
        <x:v>Park-and-ride package</x:v>
      </x:c>
      <x:c r="F113" s="58" t="n">
        <x:v>8474327</x:v>
      </x:c>
      <x:c r="G113" s="52" t="n">
        <x:v>0</x:v>
      </x:c>
      <x:c r="H113" s="52" t="str">
        <x:v>500 spaces</x:v>
      </x:c>
      <x:c r="I113" s="58" t="n">
        <x:v>450000</x:v>
      </x:c>
      <x:c r="J113" s="55" t="n">
        <x:v>0.5</x:v>
      </x:c>
      <x:c r="K113" s="58" t="n">
        <x:f>G113*I113</x:f>
        <x:v>0</x:v>
      </x:c>
      <x:c r="L113" s="58" t="n">
        <x:f>K113*J113</x:f>
        <x:v>0</x:v>
      </x:c>
      <x:c r="M113" s="58" t="n">
        <x:f>K113-L113</x:f>
        <x:v>0</x:v>
      </x:c>
      <x:c r="N113" s="61" t="n">
        <x:f>K113/F113</x:f>
        <x:v>0</x:v>
      </x:c>
      <x:c r="O113" s="52" t="str">
        <x:v>leased intercept lots and temporary signing</x:v>
      </x:c>
      <x:c r="P113" s="52" t="str">
        <x:v>permanent park-and-ride with charging and transit access</x:v>
      </x:c>
      <x:c r="Q113" s="52" t="n">
        <x:v>5</x:v>
      </x:c>
      <x:c r="R113" s="52" t="str">
        <x:v>engineering_assumption</x:v>
      </x:c>
      <x:c r="S113" s="52" t="str">
        <x:v>fta-wc26</x:v>
      </x:c>
      <x:c r="T113" s="52" t="str">
        <x:v>https://www.transit.dot.gov/funding/apportionments/fta-world-cup-funding-apportionment-table</x:v>
      </x:c>
    </x:row>
    <x:row r="114">
      <x:c r="A114" s="52" t="n">
        <x:v>9</x:v>
      </x:c>
      <x:c r="B114" s="52" t="str">
        <x:v>philadelphia</x:v>
      </x:c>
      <x:c r="C114" s="52" t="str">
        <x:v>Philadelphia</x:v>
      </x:c>
      <x:c r="D114" s="52" t="str">
        <x:v>ped</x:v>
      </x:c>
      <x:c r="E114" s="52" t="str">
        <x:v>Protected pedestrian corridor</x:v>
      </x:c>
      <x:c r="F114" s="58" t="n">
        <x:v>8474327</x:v>
      </x:c>
      <x:c r="G114" s="52" t="n">
        <x:v>0</x:v>
      </x:c>
      <x:c r="H114" s="52" t="str">
        <x:v>1 tactical mile</x:v>
      </x:c>
      <x:c r="I114" s="58" t="n">
        <x:v>600000</x:v>
      </x:c>
      <x:c r="J114" s="55" t="n">
        <x:v>0.35</x:v>
      </x:c>
      <x:c r="K114" s="58" t="n">
        <x:f>G114*I114</x:f>
        <x:v>0</x:v>
      </x:c>
      <x:c r="L114" s="58" t="n">
        <x:f>K114*J114</x:f>
        <x:v>0</x:v>
      </x:c>
      <x:c r="M114" s="58" t="n">
        <x:f>K114-L114</x:f>
        <x:v>0</x:v>
      </x:c>
      <x:c r="N114" s="61" t="n">
        <x:f>K114/F114</x:f>
        <x:v>0</x:v>
      </x:c>
      <x:c r="O114" s="52" t="str">
        <x:v>barricaded protected corridor; marshals and lighting</x:v>
      </x:c>
      <x:c r="P114" s="52" t="str">
        <x:v>widened sidewalk; lighting; drainage and separation</x:v>
      </x:c>
      <x:c r="Q114" s="52" t="n">
        <x:v>15</x:v>
      </x:c>
      <x:c r="R114" s="52" t="str">
        <x:v>engineering_assumption</x:v>
      </x:c>
      <x:c r="S114" s="52" t="str">
        <x:v>fta-wc26</x:v>
      </x:c>
      <x:c r="T114" s="52" t="str">
        <x:v>https://www.transit.dot.gov/funding/apportionments/fta-world-cup-funding-apportionment-table</x:v>
      </x:c>
    </x:row>
    <x:row r="115">
      <x:c r="A115" s="52" t="n">
        <x:v>9</x:v>
      </x:c>
      <x:c r="B115" s="52" t="str">
        <x:v>philadelphia</x:v>
      </x:c>
      <x:c r="C115" s="52" t="str">
        <x:v>Philadelphia</x:v>
      </x:c>
      <x:c r="D115" s="52" t="str">
        <x:v>bike</x:v>
      </x:c>
      <x:c r="E115" s="52" t="str">
        <x:v>Protected bicycle access</x:v>
      </x:c>
      <x:c r="F115" s="58" t="n">
        <x:v>8474327</x:v>
      </x:c>
      <x:c r="G115" s="52" t="n">
        <x:v>0</x:v>
      </x:c>
      <x:c r="H115" s="52" t="str">
        <x:v>2 route-miles + parking</x:v>
      </x:c>
      <x:c r="I115" s="58" t="n">
        <x:v>650000</x:v>
      </x:c>
      <x:c r="J115" s="55" t="n">
        <x:v>0.35</x:v>
      </x:c>
      <x:c r="K115" s="58" t="n">
        <x:f>G115*I115</x:f>
        <x:v>0</x:v>
      </x:c>
      <x:c r="L115" s="58" t="n">
        <x:f>K115*J115</x:f>
        <x:v>0</x:v>
      </x:c>
      <x:c r="M115" s="58" t="n">
        <x:f>K115-L115</x:f>
        <x:v>0</x:v>
      </x:c>
      <x:c r="N115" s="61" t="n">
        <x:f>K115/F115</x:f>
        <x:v>0</x:v>
      </x:c>
      <x:c r="O115" s="52" t="str">
        <x:v>pop-up protected lane and attended bike valet</x:v>
      </x:c>
      <x:c r="P115" s="52" t="str">
        <x:v>protected bikeway and secure long-term parking</x:v>
      </x:c>
      <x:c r="Q115" s="52" t="n">
        <x:v>15</x:v>
      </x:c>
      <x:c r="R115" s="52" t="str">
        <x:v>engineering_assumption</x:v>
      </x:c>
      <x:c r="S115" s="52" t="str">
        <x:v>fta-wc26</x:v>
      </x:c>
      <x:c r="T115" s="52" t="str">
        <x:v>https://www.transit.dot.gov/funding/apportionments/fta-world-cup-funding-apportionment-table</x:v>
      </x:c>
    </x:row>
    <x:row r="116">
      <x:c r="A116" s="52" t="n">
        <x:v>9</x:v>
      </x:c>
      <x:c r="B116" s="52" t="str">
        <x:v>philadelphia</x:v>
      </x:c>
      <x:c r="C116" s="52" t="str">
        <x:v>Philadelphia</x:v>
      </x:c>
      <x:c r="D116" s="52" t="str">
        <x:v>tnc</x:v>
      </x:c>
      <x:c r="E116" s="52" t="str">
        <x:v>Managed rideshare hub</x:v>
      </x:c>
      <x:c r="F116" s="58" t="n">
        <x:v>8474327</x:v>
      </x:c>
      <x:c r="G116" s="52" t="n">
        <x:v>1</x:v>
      </x:c>
      <x:c r="H116" s="52" t="str">
        <x:v>1 staffed hub</x:v>
      </x:c>
      <x:c r="I116" s="58" t="n">
        <x:v>400000</x:v>
      </x:c>
      <x:c r="J116" s="55" t="n">
        <x:v>0.5</x:v>
      </x:c>
      <x:c r="K116" s="58" t="n">
        <x:f>G116*I116</x:f>
        <x:v>400000</x:v>
      </x:c>
      <x:c r="L116" s="58" t="n">
        <x:f>K116*J116</x:f>
        <x:v>200000</x:v>
      </x:c>
      <x:c r="M116" s="58" t="n">
        <x:f>K116-L116</x:f>
        <x:v>200000</x:v>
      </x:c>
      <x:c r="N116" s="61" t="n">
        <x:f>K116/F116</x:f>
        <x:v>0.04720138838163786</x:v>
      </x:c>
      <x:c r="O116" s="52" t="str">
        <x:v>staffed geofenced pickup with temporary lane control</x:v>
      </x:c>
      <x:c r="P116" s="52" t="str">
        <x:v>off-street rideshare hub with accessible bays</x:v>
      </x:c>
      <x:c r="Q116" s="52" t="n">
        <x:v>10</x:v>
      </x:c>
      <x:c r="R116" s="52" t="str">
        <x:v>engineering_assumption</x:v>
      </x:c>
      <x:c r="S116" s="52" t="str">
        <x:v>fta-wc26</x:v>
      </x:c>
      <x:c r="T116" s="52" t="str">
        <x:v>https://www.transit.dot.gov/funding/apportionments/fta-world-cup-funding-apportionment-table</x:v>
      </x:c>
    </x:row>
    <x:row r="117">
      <x:c r="A117" s="52" t="n">
        <x:v>9</x:v>
      </x:c>
      <x:c r="B117" s="52" t="str">
        <x:v>philadelphia</x:v>
      </x:c>
      <x:c r="C117" s="52" t="str">
        <x:v>Philadelphia</x:v>
      </x:c>
      <x:c r="D117" s="52" t="str">
        <x:v>wayfinding</x:v>
      </x:c>
      <x:c r="E117" s="52" t="str">
        <x:v>Multilingual wayfinding</x:v>
      </x:c>
      <x:c r="F117" s="58" t="n">
        <x:v>8474327</x:v>
      </x:c>
      <x:c r="G117" s="52" t="n">
        <x:v>1</x:v>
      </x:c>
      <x:c r="H117" s="52" t="str">
        <x:v>city package</x:v>
      </x:c>
      <x:c r="I117" s="58" t="n">
        <x:v>300000</x:v>
      </x:c>
      <x:c r="J117" s="55" t="n">
        <x:v>0.45</x:v>
      </x:c>
      <x:c r="K117" s="58" t="n">
        <x:f>G117*I117</x:f>
        <x:v>300000</x:v>
      </x:c>
      <x:c r="L117" s="58" t="n">
        <x:f>K117*J117</x:f>
        <x:v>135000</x:v>
      </x:c>
      <x:c r="M117" s="58" t="n">
        <x:f>K117-L117</x:f>
        <x:v>165000</x:v>
      </x:c>
      <x:c r="N117" s="61" t="n">
        <x:f>K117/F117</x:f>
        <x:v>0.035401041286228396</x:v>
      </x:c>
      <x:c r="O117" s="52" t="str">
        <x:v>portable signs; digital messages; multilingual ambassadors</x:v>
      </x:c>
      <x:c r="P117" s="52" t="str">
        <x:v>fixed multilingual physical and digital wayfinding</x:v>
      </x:c>
      <x:c r="Q117" s="52" t="n">
        <x:v>7</x:v>
      </x:c>
      <x:c r="R117" s="52" t="str">
        <x:v>engineering_assumption</x:v>
      </x:c>
      <x:c r="S117" s="52" t="str">
        <x:v>fta-wc26</x:v>
      </x:c>
      <x:c r="T117" s="52" t="str">
        <x:v>https://www.transit.dot.gov/funding/apportionments/fta-world-cup-funding-apportionment-table</x:v>
      </x:c>
    </x:row>
    <x:row r="118">
      <x:c r="A118" s="52" t="n">
        <x:v>9</x:v>
      </x:c>
      <x:c r="B118" s="52" t="str">
        <x:v>philadelphia</x:v>
      </x:c>
      <x:c r="C118" s="52" t="str">
        <x:v>Philadelphia</x:v>
      </x:c>
      <x:c r="D118" s="52" t="str">
        <x:v>station</x:v>
      </x:c>
      <x:c r="E118" s="52" t="str">
        <x:v>Station-capacity package</x:v>
      </x:c>
      <x:c r="F118" s="58" t="n">
        <x:v>8474327</x:v>
      </x:c>
      <x:c r="G118" s="52" t="n">
        <x:v>2</x:v>
      </x:c>
      <x:c r="H118" s="52" t="str">
        <x:v>1 station</x:v>
      </x:c>
      <x:c r="I118" s="58" t="n">
        <x:v>1250000</x:v>
      </x:c>
      <x:c r="J118" s="55" t="n">
        <x:v>0.2</x:v>
      </x:c>
      <x:c r="K118" s="58" t="n">
        <x:f>G118*I118</x:f>
        <x:v>2500000</x:v>
      </x:c>
      <x:c r="L118" s="58" t="n">
        <x:f>K118*J118</x:f>
        <x:v>500000</x:v>
      </x:c>
      <x:c r="M118" s="58" t="n">
        <x:f>K118-L118</x:f>
        <x:v>2000000</x:v>
      </x:c>
      <x:c r="N118" s="61" t="n">
        <x:f>K118/F118</x:f>
        <x:v>0.2950086773852366</x:v>
      </x:c>
      <x:c r="O118" s="52" t="str">
        <x:v>temporary gates; queue barriers; portable fare equipment</x:v>
      </x:c>
      <x:c r="P118" s="52" t="str">
        <x:v>platform, entry and circulation expansion</x:v>
      </x:c>
      <x:c r="Q118" s="52" t="n">
        <x:v>25</x:v>
      </x:c>
      <x:c r="R118" s="52" t="str">
        <x:v>engineering_assumption</x:v>
      </x:c>
      <x:c r="S118" s="52" t="str">
        <x:v>fta-wc26</x:v>
      </x:c>
      <x:c r="T118" s="52" t="str">
        <x:v>https://www.transit.dot.gov/funding/apportionments/fta-world-cup-funding-apportionment-table</x:v>
      </x:c>
    </x:row>
    <x:row r="119">
      <x:c r="A119" s="52" t="n">
        <x:v>9</x:v>
      </x:c>
      <x:c r="B119" s="52" t="str">
        <x:v>philadelphia</x:v>
      </x:c>
      <x:c r="C119" s="52" t="str">
        <x:v>Philadelphia</x:v>
      </x:c>
      <x:c r="D119" s="52" t="str">
        <x:v>toc</x:v>
      </x:c>
      <x:c r="E119" s="52" t="str">
        <x:v>Integrated traffic operations</x:v>
      </x:c>
      <x:c r="F119" s="58" t="n">
        <x:v>8474327</x:v>
      </x:c>
      <x:c r="G119" s="52" t="n">
        <x:v>2</x:v>
      </x:c>
      <x:c r="H119" s="52" t="str">
        <x:v>city package</x:v>
      </x:c>
      <x:c r="I119" s="58" t="n">
        <x:v>750000</x:v>
      </x:c>
      <x:c r="J119" s="55" t="n">
        <x:v>0.25</x:v>
      </x:c>
      <x:c r="K119" s="58" t="n">
        <x:f>G119*I119</x:f>
        <x:v>1500000</x:v>
      </x:c>
      <x:c r="L119" s="58" t="n">
        <x:f>K119*J119</x:f>
        <x:v>375000</x:v>
      </x:c>
      <x:c r="M119" s="58" t="n">
        <x:f>K119-L119</x:f>
        <x:v>1125000</x:v>
      </x:c>
      <x:c r="N119" s="61" t="n">
        <x:f>K119/F119</x:f>
        <x:v>0.17700520643114195</x:v>
      </x:c>
      <x:c r="O119" s="52" t="str">
        <x:v>unified incident command and temporary sensor feeds</x:v>
      </x:c>
      <x:c r="P119" s="52" t="str">
        <x:v>integrated operations center and adaptive dispatch</x:v>
      </x:c>
      <x:c r="Q119" s="52" t="n">
        <x:v>10</x:v>
      </x:c>
      <x:c r="R119" s="52" t="str">
        <x:v>engineering_assumption</x:v>
      </x:c>
      <x:c r="S119" s="52" t="str">
        <x:v>fta-wc26</x:v>
      </x:c>
      <x:c r="T119" s="52" t="str">
        <x:v>https://www.transit.dot.gov/funding/apportionments/fta-world-cup-funding-apportionment-table</x:v>
      </x:c>
    </x:row>
    <x:row r="120">
      <x:c r="A120" s="52" t="n">
        <x:v>9</x:v>
      </x:c>
      <x:c r="B120" s="52" t="str">
        <x:v>philadelphia</x:v>
      </x:c>
      <x:c r="C120" s="52" t="str">
        <x:v>Philadelphia</x:v>
      </x:c>
      <x:c r="D120" s="52" t="str">
        <x:v>access</x:v>
      </x:c>
      <x:c r="E120" s="52" t="str">
        <x:v>ADA/microtransit access</x:v>
      </x:c>
      <x:c r="F120" s="58" t="n">
        <x:v>8474327</x:v>
      </x:c>
      <x:c r="G120" s="52" t="n">
        <x:v>0</x:v>
      </x:c>
      <x:c r="H120" s="52" t="str">
        <x:v>city package</x:v>
      </x:c>
      <x:c r="I120" s="58" t="n">
        <x:v>500000</x:v>
      </x:c>
      <x:c r="J120" s="55" t="n">
        <x:v>0.3</x:v>
      </x:c>
      <x:c r="K120" s="58" t="n">
        <x:f>G120*I120</x:f>
        <x:v>0</x:v>
      </x:c>
      <x:c r="L120" s="58" t="n">
        <x:f>K120*J120</x:f>
        <x:v>0</x:v>
      </x:c>
      <x:c r="M120" s="58" t="n">
        <x:f>K120-L120</x:f>
        <x:v>0</x:v>
      </x:c>
      <x:c r="N120" s="61" t="n">
        <x:f>K120/F120</x:f>
        <x:v>0</x:v>
      </x:c>
      <x:c r="O120" s="52" t="str">
        <x:v>accessible shuttles; temporary ramps and staffed assistance</x:v>
      </x:c>
      <x:c r="P120" s="52" t="str">
        <x:v>ADA ramps; tactile guidance; accessible first/last-mile network</x:v>
      </x:c>
      <x:c r="Q120" s="52" t="n">
        <x:v>15</x:v>
      </x:c>
      <x:c r="R120" s="52" t="str">
        <x:v>engineering_assumption</x:v>
      </x:c>
      <x:c r="S120" s="52" t="str">
        <x:v>fta-wc26</x:v>
      </x:c>
      <x:c r="T120" s="52" t="str">
        <x:v>https://www.transit.dot.gov/funding/apportionments/fta-world-cup-funding-apportionment-table</x:v>
      </x:c>
    </x:row>
    <x:row r="121">
      <x:c r="A121" s="57" t="n">
        <x:v>9</x:v>
      </x:c>
      <x:c r="B121" s="57" t="str">
        <x:v>philadelphia</x:v>
      </x:c>
      <x:c r="C121" s="57" t="str">
        <x:v>Philadelphia</x:v>
      </x:c>
      <x:c r="D121" s="57" t="str">
        <x:v>reserve</x:v>
      </x:c>
      <x:c r="E121" s="57" t="str">
        <x:v>Unassigned program reserve</x:v>
      </x:c>
      <x:c r="F121" s="59" t="n">
        <x:v>8474327</x:v>
      </x:c>
      <x:c r="G121" s="57" t="n">
        <x:v>1</x:v>
      </x:c>
      <x:c r="H121" s="57" t="str">
        <x:v>residual</x:v>
      </x:c>
      <x:c r="I121" s="59"/>
      <x:c r="J121" s="60" t="n">
        <x:v>0</x:v>
      </x:c>
      <x:c r="K121" s="59" t="n">
        <x:f>F121-SUM(K109:K120)</x:f>
        <x:v>24327</x:v>
      </x:c>
      <x:c r="L121" s="59" t="n">
        <x:v>0</x:v>
      </x:c>
      <x:c r="M121" s="59" t="n">
        <x:v>0</x:v>
      </x:c>
      <x:c r="N121" s="62" t="n">
        <x:f>K121/F121</x:f>
        <x:v>0.0028706704379002604</x:v>
      </x:c>
      <x:c r="O121" s="57" t="str">
        <x:v>Not committed in this demonstration model</x:v>
      </x:c>
      <x:c r="P121" s="57" t="str">
        <x:v>Release only after engineering, operations and contingency review</x:v>
      </x:c>
      <x:c r="Q121" s="57" t="n">
        <x:v>0</x:v>
      </x:c>
      <x:c r="R121" s="57" t="str">
        <x:v>formula_residual</x:v>
      </x:c>
      <x:c r="S121" s="57" t="str">
        <x:v>fta-wc26</x:v>
      </x:c>
      <x:c r="T121" s="57" t="str">
        <x:v>https://www.transit.dot.gov/funding/apportionments/fta-world-cup-funding-apportionment-table</x:v>
      </x:c>
    </x:row>
    <x:row r="122">
      <x:c r="A122" s="52" t="n">
        <x:v>10</x:v>
      </x:c>
      <x:c r="B122" s="52" t="str">
        <x:v>sf-bay</x:v>
      </x:c>
      <x:c r="C122" s="52" t="str">
        <x:v>San Francisco Bay Area</x:v>
      </x:c>
      <x:c r="D122" s="52" t="str">
        <x:v>service</x:v>
      </x:c>
      <x:c r="E122" s="52" t="str">
        <x:v>Extra transit service</x:v>
      </x:c>
      <x:c r="F122" s="58" t="n">
        <x:v>8807888</x:v>
      </x:c>
      <x:c r="G122" s="52" t="n">
        <x:v>3</x:v>
      </x:c>
      <x:c r="H122" s="52" t="str">
        <x:v>2,500 vehicle-hours</x:v>
      </x:c>
      <x:c r="I122" s="58" t="n">
        <x:v>550000</x:v>
      </x:c>
      <x:c r="J122" s="55" t="n">
        <x:v>0.8</x:v>
      </x:c>
      <x:c r="K122" s="58" t="n">
        <x:f>G122*I122</x:f>
        <x:v>1650000</x:v>
      </x:c>
      <x:c r="L122" s="58" t="n">
        <x:f>K122*J122</x:f>
        <x:v>1320000</x:v>
      </x:c>
      <x:c r="M122" s="58" t="n">
        <x:f>K122-L122</x:f>
        <x:v>330000</x:v>
      </x:c>
      <x:c r="N122" s="61" t="n">
        <x:f>K122/F122</x:f>
        <x:v>0.18733208233347198</x:v>
      </x:c>
      <x:c r="O122" s="52" t="str">
        <x:v>extra rail/bus vehicle-hours; standby operators; event timetable</x:v>
      </x:c>
      <x:c r="P122" s="52" t="str">
        <x:v>recurring major-event service plan; fleet and stabling readiness</x:v>
      </x:c>
      <x:c r="Q122" s="52" t="n">
        <x:v>1</x:v>
      </x:c>
      <x:c r="R122" s="52" t="str">
        <x:v>engineering_assumption</x:v>
      </x:c>
      <x:c r="S122" s="52" t="str">
        <x:v>fta-wc26</x:v>
      </x:c>
      <x:c r="T122" s="52" t="str">
        <x:v>https://www.transit.dot.gov/funding/apportionments/fta-world-cup-funding-apportionment-table</x:v>
      </x:c>
    </x:row>
    <x:row r="123">
      <x:c r="A123" s="52" t="n">
        <x:v>10</x:v>
      </x:c>
      <x:c r="B123" s="52" t="str">
        <x:v>sf-bay</x:v>
      </x:c>
      <x:c r="C123" s="52" t="str">
        <x:v>San Francisco Bay Area</x:v>
      </x:c>
      <x:c r="D123" s="52" t="str">
        <x:v>buslane</x:v>
      </x:c>
      <x:c r="E123" s="52" t="str">
        <x:v>Transit-priority lanes</x:v>
      </x:c>
      <x:c r="F123" s="58" t="n">
        <x:v>8807888</x:v>
      </x:c>
      <x:c r="G123" s="52" t="n">
        <x:v>4</x:v>
      </x:c>
      <x:c r="H123" s="52" t="str">
        <x:v>2 lane-miles</x:v>
      </x:c>
      <x:c r="I123" s="58" t="n">
        <x:v>360000</x:v>
      </x:c>
      <x:c r="J123" s="55" t="n">
        <x:v>0.45</x:v>
      </x:c>
      <x:c r="K123" s="58" t="n">
        <x:f>G123*I123</x:f>
        <x:v>1440000</x:v>
      </x:c>
      <x:c r="L123" s="58" t="n">
        <x:f>K123*J123</x:f>
        <x:v>648000</x:v>
      </x:c>
      <x:c r="M123" s="58" t="n">
        <x:f>K123-L123</x:f>
        <x:v>792000</x:v>
      </x:c>
      <x:c r="N123" s="61" t="n">
        <x:f>K123/F123</x:f>
        <x:v>0.16348981730921192</x:v>
      </x:c>
      <x:c r="O123" s="52" t="str">
        <x:v>cone- and paint-defined bus lane with enforcement</x:v>
      </x:c>
      <x:c r="P123" s="52" t="str">
        <x:v>dedicated or peak-period transit-priority lane</x:v>
      </x:c>
      <x:c r="Q123" s="52" t="n">
        <x:v>10</x:v>
      </x:c>
      <x:c r="R123" s="52" t="str">
        <x:v>engineering_assumption</x:v>
      </x:c>
      <x:c r="S123" s="52" t="str">
        <x:v>fta-wc26</x:v>
      </x:c>
      <x:c r="T123" s="52" t="str">
        <x:v>https://www.transit.dot.gov/funding/apportionments/fta-world-cup-funding-apportionment-table</x:v>
      </x:c>
    </x:row>
    <x:row r="124">
      <x:c r="A124" s="52" t="n">
        <x:v>10</x:v>
      </x:c>
      <x:c r="B124" s="52" t="str">
        <x:v>sf-bay</x:v>
      </x:c>
      <x:c r="C124" s="52" t="str">
        <x:v>San Francisco Bay Area</x:v>
      </x:c>
      <x:c r="D124" s="52" t="str">
        <x:v>signals</x:v>
      </x:c>
      <x:c r="E124" s="52" t="str">
        <x:v>Signal timing plans</x:v>
      </x:c>
      <x:c r="F124" s="58" t="n">
        <x:v>8807888</x:v>
      </x:c>
      <x:c r="G124" s="52" t="n">
        <x:v>4</x:v>
      </x:c>
      <x:c r="H124" s="52" t="str">
        <x:v>20 intersections</x:v>
      </x:c>
      <x:c r="I124" s="58" t="n">
        <x:v>90000</x:v>
      </x:c>
      <x:c r="J124" s="55" t="n">
        <x:v>0.25</x:v>
      </x:c>
      <x:c r="K124" s="58" t="n">
        <x:f>G124*I124</x:f>
        <x:v>360000</x:v>
      </x:c>
      <x:c r="L124" s="58" t="n">
        <x:f>K124*J124</x:f>
        <x:v>90000</x:v>
      </x:c>
      <x:c r="M124" s="58" t="n">
        <x:f>K124-L124</x:f>
        <x:v>270000</x:v>
      </x:c>
      <x:c r="N124" s="61" t="n">
        <x:f>K124/F124</x:f>
        <x:v>0.04087245432730298</x:v>
      </x:c>
      <x:c r="O124" s="52" t="str">
        <x:v>police/manual traffic control and temporary timing plan</x:v>
      </x:c>
      <x:c r="P124" s="52" t="str">
        <x:v>adaptive controllers and transit signal priority</x:v>
      </x:c>
      <x:c r="Q124" s="52" t="n">
        <x:v>10</x:v>
      </x:c>
      <x:c r="R124" s="52" t="str">
        <x:v>engineering_assumption</x:v>
      </x:c>
      <x:c r="S124" s="52" t="str">
        <x:v>fta-wc26</x:v>
      </x:c>
      <x:c r="T124" s="52" t="str">
        <x:v>https://www.transit.dot.gov/funding/apportionments/fta-world-cup-funding-apportionment-table</x:v>
      </x:c>
    </x:row>
    <x:row r="125">
      <x:c r="A125" s="52" t="n">
        <x:v>10</x:v>
      </x:c>
      <x:c r="B125" s="52" t="str">
        <x:v>sf-bay</x:v>
      </x:c>
      <x:c r="C125" s="52" t="str">
        <x:v>San Francisco Bay Area</x:v>
      </x:c>
      <x:c r="D125" s="52" t="str">
        <x:v>hub</x:v>
      </x:c>
      <x:c r="E125" s="52" t="str">
        <x:v>Hub-to-stadium shuttle package</x:v>
      </x:c>
      <x:c r="F125" s="58" t="n">
        <x:v>8807888</x:v>
      </x:c>
      <x:c r="G125" s="52" t="n">
        <x:v>1</x:v>
      </x:c>
      <x:c r="H125" s="52" t="str">
        <x:v>1 hub package</x:v>
      </x:c>
      <x:c r="I125" s="58" t="n">
        <x:v>750000</x:v>
      </x:c>
      <x:c r="J125" s="55" t="n">
        <x:v>0.4</x:v>
      </x:c>
      <x:c r="K125" s="58" t="n">
        <x:f>G125*I125</x:f>
        <x:v>750000</x:v>
      </x:c>
      <x:c r="L125" s="58" t="n">
        <x:f>K125*J125</x:f>
        <x:v>300000</x:v>
      </x:c>
      <x:c r="M125" s="58" t="n">
        <x:f>K125-L125</x:f>
        <x:v>450000</x:v>
      </x:c>
      <x:c r="N125" s="61" t="n">
        <x:f>K125/F125</x:f>
        <x:v>0.08515094651521454</x:v>
      </x:c>
      <x:c r="O125" s="52" t="str">
        <x:v>pop-up shuttle zone; temporary shelters and dispatch</x:v>
      </x:c>
      <x:c r="P125" s="52" t="str">
        <x:v>permanent multimodal mobility hub</x:v>
      </x:c>
      <x:c r="Q125" s="52" t="n">
        <x:v>15</x:v>
      </x:c>
      <x:c r="R125" s="52" t="str">
        <x:v>engineering_assumption</x:v>
      </x:c>
      <x:c r="S125" s="52" t="str">
        <x:v>fta-wc26</x:v>
      </x:c>
      <x:c r="T125" s="52" t="str">
        <x:v>https://www.transit.dot.gov/funding/apportionments/fta-world-cup-funding-apportionment-table</x:v>
      </x:c>
    </x:row>
    <x:row r="126">
      <x:c r="A126" s="52" t="n">
        <x:v>10</x:v>
      </x:c>
      <x:c r="B126" s="52" t="str">
        <x:v>sf-bay</x:v>
      </x:c>
      <x:c r="C126" s="52" t="str">
        <x:v>San Francisco Bay Area</x:v>
      </x:c>
      <x:c r="D126" s="52" t="str">
        <x:v>parkride</x:v>
      </x:c>
      <x:c r="E126" s="52" t="str">
        <x:v>Park-and-ride package</x:v>
      </x:c>
      <x:c r="F126" s="58" t="n">
        <x:v>8807888</x:v>
      </x:c>
      <x:c r="G126" s="52" t="n">
        <x:v>1</x:v>
      </x:c>
      <x:c r="H126" s="52" t="str">
        <x:v>500 spaces</x:v>
      </x:c>
      <x:c r="I126" s="58" t="n">
        <x:v>450000</x:v>
      </x:c>
      <x:c r="J126" s="55" t="n">
        <x:v>0.5</x:v>
      </x:c>
      <x:c r="K126" s="58" t="n">
        <x:f>G126*I126</x:f>
        <x:v>450000</x:v>
      </x:c>
      <x:c r="L126" s="58" t="n">
        <x:f>K126*J126</x:f>
        <x:v>225000</x:v>
      </x:c>
      <x:c r="M126" s="58" t="n">
        <x:f>K126-L126</x:f>
        <x:v>225000</x:v>
      </x:c>
      <x:c r="N126" s="61" t="n">
        <x:f>K126/F126</x:f>
        <x:v>0.05109056790912873</x:v>
      </x:c>
      <x:c r="O126" s="52" t="str">
        <x:v>leased intercept lots and temporary signing</x:v>
      </x:c>
      <x:c r="P126" s="52" t="str">
        <x:v>permanent park-and-ride with charging and transit access</x:v>
      </x:c>
      <x:c r="Q126" s="52" t="n">
        <x:v>5</x:v>
      </x:c>
      <x:c r="R126" s="52" t="str">
        <x:v>engineering_assumption</x:v>
      </x:c>
      <x:c r="S126" s="52" t="str">
        <x:v>fta-wc26</x:v>
      </x:c>
      <x:c r="T126" s="52" t="str">
        <x:v>https://www.transit.dot.gov/funding/apportionments/fta-world-cup-funding-apportionment-table</x:v>
      </x:c>
    </x:row>
    <x:row r="127">
      <x:c r="A127" s="52" t="n">
        <x:v>10</x:v>
      </x:c>
      <x:c r="B127" s="52" t="str">
        <x:v>sf-bay</x:v>
      </x:c>
      <x:c r="C127" s="52" t="str">
        <x:v>San Francisco Bay Area</x:v>
      </x:c>
      <x:c r="D127" s="52" t="str">
        <x:v>ped</x:v>
      </x:c>
      <x:c r="E127" s="52" t="str">
        <x:v>Protected pedestrian corridor</x:v>
      </x:c>
      <x:c r="F127" s="58" t="n">
        <x:v>8807888</x:v>
      </x:c>
      <x:c r="G127" s="52" t="n">
        <x:v>0</x:v>
      </x:c>
      <x:c r="H127" s="52" t="str">
        <x:v>1 tactical mile</x:v>
      </x:c>
      <x:c r="I127" s="58" t="n">
        <x:v>600000</x:v>
      </x:c>
      <x:c r="J127" s="55" t="n">
        <x:v>0.35</x:v>
      </x:c>
      <x:c r="K127" s="58" t="n">
        <x:f>G127*I127</x:f>
        <x:v>0</x:v>
      </x:c>
      <x:c r="L127" s="58" t="n">
        <x:f>K127*J127</x:f>
        <x:v>0</x:v>
      </x:c>
      <x:c r="M127" s="58" t="n">
        <x:f>K127-L127</x:f>
        <x:v>0</x:v>
      </x:c>
      <x:c r="N127" s="61" t="n">
        <x:f>K127/F127</x:f>
        <x:v>0</x:v>
      </x:c>
      <x:c r="O127" s="52" t="str">
        <x:v>barricaded protected corridor; marshals and lighting</x:v>
      </x:c>
      <x:c r="P127" s="52" t="str">
        <x:v>widened sidewalk; lighting; drainage and separation</x:v>
      </x:c>
      <x:c r="Q127" s="52" t="n">
        <x:v>15</x:v>
      </x:c>
      <x:c r="R127" s="52" t="str">
        <x:v>engineering_assumption</x:v>
      </x:c>
      <x:c r="S127" s="52" t="str">
        <x:v>fta-wc26</x:v>
      </x:c>
      <x:c r="T127" s="52" t="str">
        <x:v>https://www.transit.dot.gov/funding/apportionments/fta-world-cup-funding-apportionment-table</x:v>
      </x:c>
    </x:row>
    <x:row r="128">
      <x:c r="A128" s="52" t="n">
        <x:v>10</x:v>
      </x:c>
      <x:c r="B128" s="52" t="str">
        <x:v>sf-bay</x:v>
      </x:c>
      <x:c r="C128" s="52" t="str">
        <x:v>San Francisco Bay Area</x:v>
      </x:c>
      <x:c r="D128" s="52" t="str">
        <x:v>bike</x:v>
      </x:c>
      <x:c r="E128" s="52" t="str">
        <x:v>Protected bicycle access</x:v>
      </x:c>
      <x:c r="F128" s="58" t="n">
        <x:v>8807888</x:v>
      </x:c>
      <x:c r="G128" s="52" t="n">
        <x:v>0</x:v>
      </x:c>
      <x:c r="H128" s="52" t="str">
        <x:v>2 route-miles + parking</x:v>
      </x:c>
      <x:c r="I128" s="58" t="n">
        <x:v>650000</x:v>
      </x:c>
      <x:c r="J128" s="55" t="n">
        <x:v>0.35</x:v>
      </x:c>
      <x:c r="K128" s="58" t="n">
        <x:f>G128*I128</x:f>
        <x:v>0</x:v>
      </x:c>
      <x:c r="L128" s="58" t="n">
        <x:f>K128*J128</x:f>
        <x:v>0</x:v>
      </x:c>
      <x:c r="M128" s="58" t="n">
        <x:f>K128-L128</x:f>
        <x:v>0</x:v>
      </x:c>
      <x:c r="N128" s="61" t="n">
        <x:f>K128/F128</x:f>
        <x:v>0</x:v>
      </x:c>
      <x:c r="O128" s="52" t="str">
        <x:v>pop-up protected lane and attended bike valet</x:v>
      </x:c>
      <x:c r="P128" s="52" t="str">
        <x:v>protected bikeway and secure long-term parking</x:v>
      </x:c>
      <x:c r="Q128" s="52" t="n">
        <x:v>15</x:v>
      </x:c>
      <x:c r="R128" s="52" t="str">
        <x:v>engineering_assumption</x:v>
      </x:c>
      <x:c r="S128" s="52" t="str">
        <x:v>fta-wc26</x:v>
      </x:c>
      <x:c r="T128" s="52" t="str">
        <x:v>https://www.transit.dot.gov/funding/apportionments/fta-world-cup-funding-apportionment-table</x:v>
      </x:c>
    </x:row>
    <x:row r="129">
      <x:c r="A129" s="52" t="n">
        <x:v>10</x:v>
      </x:c>
      <x:c r="B129" s="52" t="str">
        <x:v>sf-bay</x:v>
      </x:c>
      <x:c r="C129" s="52" t="str">
        <x:v>San Francisco Bay Area</x:v>
      </x:c>
      <x:c r="D129" s="52" t="str">
        <x:v>tnc</x:v>
      </x:c>
      <x:c r="E129" s="52" t="str">
        <x:v>Managed rideshare hub</x:v>
      </x:c>
      <x:c r="F129" s="58" t="n">
        <x:v>8807888</x:v>
      </x:c>
      <x:c r="G129" s="52" t="n">
        <x:v>2</x:v>
      </x:c>
      <x:c r="H129" s="52" t="str">
        <x:v>1 staffed hub</x:v>
      </x:c>
      <x:c r="I129" s="58" t="n">
        <x:v>400000</x:v>
      </x:c>
      <x:c r="J129" s="55" t="n">
        <x:v>0.5</x:v>
      </x:c>
      <x:c r="K129" s="58" t="n">
        <x:f>G129*I129</x:f>
        <x:v>800000</x:v>
      </x:c>
      <x:c r="L129" s="58" t="n">
        <x:f>K129*J129</x:f>
        <x:v>400000</x:v>
      </x:c>
      <x:c r="M129" s="58" t="n">
        <x:f>K129-L129</x:f>
        <x:v>400000</x:v>
      </x:c>
      <x:c r="N129" s="61" t="n">
        <x:f>K129/F129</x:f>
        <x:v>0.09082767628289551</x:v>
      </x:c>
      <x:c r="O129" s="52" t="str">
        <x:v>staffed geofenced pickup with temporary lane control</x:v>
      </x:c>
      <x:c r="P129" s="52" t="str">
        <x:v>off-street rideshare hub with accessible bays</x:v>
      </x:c>
      <x:c r="Q129" s="52" t="n">
        <x:v>10</x:v>
      </x:c>
      <x:c r="R129" s="52" t="str">
        <x:v>engineering_assumption</x:v>
      </x:c>
      <x:c r="S129" s="52" t="str">
        <x:v>fta-wc26</x:v>
      </x:c>
      <x:c r="T129" s="52" t="str">
        <x:v>https://www.transit.dot.gov/funding/apportionments/fta-world-cup-funding-apportionment-table</x:v>
      </x:c>
    </x:row>
    <x:row r="130">
      <x:c r="A130" s="52" t="n">
        <x:v>10</x:v>
      </x:c>
      <x:c r="B130" s="52" t="str">
        <x:v>sf-bay</x:v>
      </x:c>
      <x:c r="C130" s="52" t="str">
        <x:v>San Francisco Bay Area</x:v>
      </x:c>
      <x:c r="D130" s="52" t="str">
        <x:v>wayfinding</x:v>
      </x:c>
      <x:c r="E130" s="52" t="str">
        <x:v>Multilingual wayfinding</x:v>
      </x:c>
      <x:c r="F130" s="58" t="n">
        <x:v>8807888</x:v>
      </x:c>
      <x:c r="G130" s="52" t="n">
        <x:v>2</x:v>
      </x:c>
      <x:c r="H130" s="52" t="str">
        <x:v>city package</x:v>
      </x:c>
      <x:c r="I130" s="58" t="n">
        <x:v>300000</x:v>
      </x:c>
      <x:c r="J130" s="55" t="n">
        <x:v>0.45</x:v>
      </x:c>
      <x:c r="K130" s="58" t="n">
        <x:f>G130*I130</x:f>
        <x:v>600000</x:v>
      </x:c>
      <x:c r="L130" s="58" t="n">
        <x:f>K130*J130</x:f>
        <x:v>270000</x:v>
      </x:c>
      <x:c r="M130" s="58" t="n">
        <x:f>K130-L130</x:f>
        <x:v>330000</x:v>
      </x:c>
      <x:c r="N130" s="61" t="n">
        <x:f>K130/F130</x:f>
        <x:v>0.06812075721217163</x:v>
      </x:c>
      <x:c r="O130" s="52" t="str">
        <x:v>portable signs; digital messages; multilingual ambassadors</x:v>
      </x:c>
      <x:c r="P130" s="52" t="str">
        <x:v>fixed multilingual physical and digital wayfinding</x:v>
      </x:c>
      <x:c r="Q130" s="52" t="n">
        <x:v>7</x:v>
      </x:c>
      <x:c r="R130" s="52" t="str">
        <x:v>engineering_assumption</x:v>
      </x:c>
      <x:c r="S130" s="52" t="str">
        <x:v>fta-wc26</x:v>
      </x:c>
      <x:c r="T130" s="52" t="str">
        <x:v>https://www.transit.dot.gov/funding/apportionments/fta-world-cup-funding-apportionment-table</x:v>
      </x:c>
    </x:row>
    <x:row r="131">
      <x:c r="A131" s="52" t="n">
        <x:v>10</x:v>
      </x:c>
      <x:c r="B131" s="52" t="str">
        <x:v>sf-bay</x:v>
      </x:c>
      <x:c r="C131" s="52" t="str">
        <x:v>San Francisco Bay Area</x:v>
      </x:c>
      <x:c r="D131" s="52" t="str">
        <x:v>station</x:v>
      </x:c>
      <x:c r="E131" s="52" t="str">
        <x:v>Station-capacity package</x:v>
      </x:c>
      <x:c r="F131" s="58" t="n">
        <x:v>8807888</x:v>
      </x:c>
      <x:c r="G131" s="52" t="n">
        <x:v>1</x:v>
      </x:c>
      <x:c r="H131" s="52" t="str">
        <x:v>1 station</x:v>
      </x:c>
      <x:c r="I131" s="58" t="n">
        <x:v>1250000</x:v>
      </x:c>
      <x:c r="J131" s="55" t="n">
        <x:v>0.2</x:v>
      </x:c>
      <x:c r="K131" s="58" t="n">
        <x:f>G131*I131</x:f>
        <x:v>1250000</x:v>
      </x:c>
      <x:c r="L131" s="58" t="n">
        <x:f>K131*J131</x:f>
        <x:v>250000</x:v>
      </x:c>
      <x:c r="M131" s="58" t="n">
        <x:f>K131-L131</x:f>
        <x:v>1000000</x:v>
      </x:c>
      <x:c r="N131" s="61" t="n">
        <x:f>K131/F131</x:f>
        <x:v>0.14191824419202423</x:v>
      </x:c>
      <x:c r="O131" s="52" t="str">
        <x:v>temporary gates; queue barriers; portable fare equipment</x:v>
      </x:c>
      <x:c r="P131" s="52" t="str">
        <x:v>platform, entry and circulation expansion</x:v>
      </x:c>
      <x:c r="Q131" s="52" t="n">
        <x:v>25</x:v>
      </x:c>
      <x:c r="R131" s="52" t="str">
        <x:v>engineering_assumption</x:v>
      </x:c>
      <x:c r="S131" s="52" t="str">
        <x:v>fta-wc26</x:v>
      </x:c>
      <x:c r="T131" s="52" t="str">
        <x:v>https://www.transit.dot.gov/funding/apportionments/fta-world-cup-funding-apportionment-table</x:v>
      </x:c>
    </x:row>
    <x:row r="132">
      <x:c r="A132" s="52" t="n">
        <x:v>10</x:v>
      </x:c>
      <x:c r="B132" s="52" t="str">
        <x:v>sf-bay</x:v>
      </x:c>
      <x:c r="C132" s="52" t="str">
        <x:v>San Francisco Bay Area</x:v>
      </x:c>
      <x:c r="D132" s="52" t="str">
        <x:v>toc</x:v>
      </x:c>
      <x:c r="E132" s="52" t="str">
        <x:v>Integrated traffic operations</x:v>
      </x:c>
      <x:c r="F132" s="58" t="n">
        <x:v>8807888</x:v>
      </x:c>
      <x:c r="G132" s="52" t="n">
        <x:v>2</x:v>
      </x:c>
      <x:c r="H132" s="52" t="str">
        <x:v>city package</x:v>
      </x:c>
      <x:c r="I132" s="58" t="n">
        <x:v>750000</x:v>
      </x:c>
      <x:c r="J132" s="55" t="n">
        <x:v>0.25</x:v>
      </x:c>
      <x:c r="K132" s="58" t="n">
        <x:f>G132*I132</x:f>
        <x:v>1500000</x:v>
      </x:c>
      <x:c r="L132" s="58" t="n">
        <x:f>K132*J132</x:f>
        <x:v>375000</x:v>
      </x:c>
      <x:c r="M132" s="58" t="n">
        <x:f>K132-L132</x:f>
        <x:v>1125000</x:v>
      </x:c>
      <x:c r="N132" s="61" t="n">
        <x:f>K132/F132</x:f>
        <x:v>0.17030189303042909</x:v>
      </x:c>
      <x:c r="O132" s="52" t="str">
        <x:v>unified incident command and temporary sensor feeds</x:v>
      </x:c>
      <x:c r="P132" s="52" t="str">
        <x:v>integrated operations center and adaptive dispatch</x:v>
      </x:c>
      <x:c r="Q132" s="52" t="n">
        <x:v>10</x:v>
      </x:c>
      <x:c r="R132" s="52" t="str">
        <x:v>engineering_assumption</x:v>
      </x:c>
      <x:c r="S132" s="52" t="str">
        <x:v>fta-wc26</x:v>
      </x:c>
      <x:c r="T132" s="52" t="str">
        <x:v>https://www.transit.dot.gov/funding/apportionments/fta-world-cup-funding-apportionment-table</x:v>
      </x:c>
    </x:row>
    <x:row r="133">
      <x:c r="A133" s="52" t="n">
        <x:v>10</x:v>
      </x:c>
      <x:c r="B133" s="52" t="str">
        <x:v>sf-bay</x:v>
      </x:c>
      <x:c r="C133" s="52" t="str">
        <x:v>San Francisco Bay Area</x:v>
      </x:c>
      <x:c r="D133" s="52" t="str">
        <x:v>access</x:v>
      </x:c>
      <x:c r="E133" s="52" t="str">
        <x:v>ADA/microtransit access</x:v>
      </x:c>
      <x:c r="F133" s="58" t="n">
        <x:v>8807888</x:v>
      </x:c>
      <x:c r="G133" s="52" t="n">
        <x:v>0</x:v>
      </x:c>
      <x:c r="H133" s="52" t="str">
        <x:v>city package</x:v>
      </x:c>
      <x:c r="I133" s="58" t="n">
        <x:v>500000</x:v>
      </x:c>
      <x:c r="J133" s="55" t="n">
        <x:v>0.3</x:v>
      </x:c>
      <x:c r="K133" s="58" t="n">
        <x:f>G133*I133</x:f>
        <x:v>0</x:v>
      </x:c>
      <x:c r="L133" s="58" t="n">
        <x:f>K133*J133</x:f>
        <x:v>0</x:v>
      </x:c>
      <x:c r="M133" s="58" t="n">
        <x:f>K133-L133</x:f>
        <x:v>0</x:v>
      </x:c>
      <x:c r="N133" s="61" t="n">
        <x:f>K133/F133</x:f>
        <x:v>0</x:v>
      </x:c>
      <x:c r="O133" s="52" t="str">
        <x:v>accessible shuttles; temporary ramps and staffed assistance</x:v>
      </x:c>
      <x:c r="P133" s="52" t="str">
        <x:v>ADA ramps; tactile guidance; accessible first/last-mile network</x:v>
      </x:c>
      <x:c r="Q133" s="52" t="n">
        <x:v>15</x:v>
      </x:c>
      <x:c r="R133" s="52" t="str">
        <x:v>engineering_assumption</x:v>
      </x:c>
      <x:c r="S133" s="52" t="str">
        <x:v>fta-wc26</x:v>
      </x:c>
      <x:c r="T133" s="52" t="str">
        <x:v>https://www.transit.dot.gov/funding/apportionments/fta-world-cup-funding-apportionment-table</x:v>
      </x:c>
    </x:row>
    <x:row r="134">
      <x:c r="A134" s="57" t="n">
        <x:v>10</x:v>
      </x:c>
      <x:c r="B134" s="57" t="str">
        <x:v>sf-bay</x:v>
      </x:c>
      <x:c r="C134" s="57" t="str">
        <x:v>San Francisco Bay Area</x:v>
      </x:c>
      <x:c r="D134" s="57" t="str">
        <x:v>reserve</x:v>
      </x:c>
      <x:c r="E134" s="57" t="str">
        <x:v>Unassigned program reserve</x:v>
      </x:c>
      <x:c r="F134" s="59" t="n">
        <x:v>8807888</x:v>
      </x:c>
      <x:c r="G134" s="57" t="n">
        <x:v>1</x:v>
      </x:c>
      <x:c r="H134" s="57" t="str">
        <x:v>residual</x:v>
      </x:c>
      <x:c r="I134" s="59"/>
      <x:c r="J134" s="60" t="n">
        <x:v>0</x:v>
      </x:c>
      <x:c r="K134" s="59" t="n">
        <x:f>F134-SUM(K122:K133)</x:f>
        <x:v>7888</x:v>
      </x:c>
      <x:c r="L134" s="59" t="n">
        <x:v>0</x:v>
      </x:c>
      <x:c r="M134" s="59" t="n">
        <x:v>0</x:v>
      </x:c>
      <x:c r="N134" s="62" t="n">
        <x:f>K134/F134</x:f>
        <x:v>0.0008955608881493497</x:v>
      </x:c>
      <x:c r="O134" s="57" t="str">
        <x:v>Not committed in this demonstration model</x:v>
      </x:c>
      <x:c r="P134" s="57" t="str">
        <x:v>Release only after engineering, operations and contingency review</x:v>
      </x:c>
      <x:c r="Q134" s="57" t="n">
        <x:v>0</x:v>
      </x:c>
      <x:c r="R134" s="57" t="str">
        <x:v>formula_residual</x:v>
      </x:c>
      <x:c r="S134" s="57" t="str">
        <x:v>fta-wc26</x:v>
      </x:c>
      <x:c r="T134" s="57" t="str">
        <x:v>https://www.transit.dot.gov/funding/apportionments/fta-world-cup-funding-apportionment-table</x:v>
      </x:c>
    </x:row>
    <x:row r="135">
      <x:c r="A135" s="52" t="n">
        <x:v>11</x:v>
      </x:c>
      <x:c r="B135" s="52" t="str">
        <x:v>seattle</x:v>
      </x:c>
      <x:c r="C135" s="52" t="str">
        <x:v>Seattle</x:v>
      </x:c>
      <x:c r="D135" s="52" t="str">
        <x:v>service</x:v>
      </x:c>
      <x:c r="E135" s="52" t="str">
        <x:v>Extra transit service</x:v>
      </x:c>
      <x:c r="F135" s="58" t="n">
        <x:v>8408439</x:v>
      </x:c>
      <x:c r="G135" s="52" t="n">
        <x:v>3</x:v>
      </x:c>
      <x:c r="H135" s="52" t="str">
        <x:v>2,500 vehicle-hours</x:v>
      </x:c>
      <x:c r="I135" s="58" t="n">
        <x:v>550000</x:v>
      </x:c>
      <x:c r="J135" s="55" t="n">
        <x:v>0.8</x:v>
      </x:c>
      <x:c r="K135" s="58" t="n">
        <x:f>G135*I135</x:f>
        <x:v>1650000</x:v>
      </x:c>
      <x:c r="L135" s="58" t="n">
        <x:f>K135*J135</x:f>
        <x:v>1320000</x:v>
      </x:c>
      <x:c r="M135" s="58" t="n">
        <x:f>K135-L135</x:f>
        <x:v>330000</x:v>
      </x:c>
      <x:c r="N135" s="61" t="n">
        <x:f>K135/F135</x:f>
        <x:v>0.19623142892515483</x:v>
      </x:c>
      <x:c r="O135" s="52" t="str">
        <x:v>extra rail/bus vehicle-hours; standby operators; event timetable</x:v>
      </x:c>
      <x:c r="P135" s="52" t="str">
        <x:v>recurring major-event service plan; fleet and stabling readiness</x:v>
      </x:c>
      <x:c r="Q135" s="52" t="n">
        <x:v>1</x:v>
      </x:c>
      <x:c r="R135" s="52" t="str">
        <x:v>engineering_assumption</x:v>
      </x:c>
      <x:c r="S135" s="52" t="str">
        <x:v>fta-wc26</x:v>
      </x:c>
      <x:c r="T135" s="52" t="str">
        <x:v>https://www.transit.dot.gov/funding/apportionments/fta-world-cup-funding-apportionment-table</x:v>
      </x:c>
    </x:row>
    <x:row r="136">
      <x:c r="A136" s="52" t="n">
        <x:v>11</x:v>
      </x:c>
      <x:c r="B136" s="52" t="str">
        <x:v>seattle</x:v>
      </x:c>
      <x:c r="C136" s="52" t="str">
        <x:v>Seattle</x:v>
      </x:c>
      <x:c r="D136" s="52" t="str">
        <x:v>buslane</x:v>
      </x:c>
      <x:c r="E136" s="52" t="str">
        <x:v>Transit-priority lanes</x:v>
      </x:c>
      <x:c r="F136" s="58" t="n">
        <x:v>8408439</x:v>
      </x:c>
      <x:c r="G136" s="52" t="n">
        <x:v>3</x:v>
      </x:c>
      <x:c r="H136" s="52" t="str">
        <x:v>2 lane-miles</x:v>
      </x:c>
      <x:c r="I136" s="58" t="n">
        <x:v>360000</x:v>
      </x:c>
      <x:c r="J136" s="55" t="n">
        <x:v>0.45</x:v>
      </x:c>
      <x:c r="K136" s="58" t="n">
        <x:f>G136*I136</x:f>
        <x:v>1080000</x:v>
      </x:c>
      <x:c r="L136" s="58" t="n">
        <x:f>K136*J136</x:f>
        <x:v>486000</x:v>
      </x:c>
      <x:c r="M136" s="58" t="n">
        <x:f>K136-L136</x:f>
        <x:v>594000</x:v>
      </x:c>
      <x:c r="N136" s="61" t="n">
        <x:f>K136/F136</x:f>
        <x:v>0.12844238984191952</x:v>
      </x:c>
      <x:c r="O136" s="52" t="str">
        <x:v>cone- and paint-defined bus lane with enforcement</x:v>
      </x:c>
      <x:c r="P136" s="52" t="str">
        <x:v>dedicated or peak-period transit-priority lane</x:v>
      </x:c>
      <x:c r="Q136" s="52" t="n">
        <x:v>10</x:v>
      </x:c>
      <x:c r="R136" s="52" t="str">
        <x:v>engineering_assumption</x:v>
      </x:c>
      <x:c r="S136" s="52" t="str">
        <x:v>fta-wc26</x:v>
      </x:c>
      <x:c r="T136" s="52" t="str">
        <x:v>https://www.transit.dot.gov/funding/apportionments/fta-world-cup-funding-apportionment-table</x:v>
      </x:c>
    </x:row>
    <x:row r="137">
      <x:c r="A137" s="52" t="n">
        <x:v>11</x:v>
      </x:c>
      <x:c r="B137" s="52" t="str">
        <x:v>seattle</x:v>
      </x:c>
      <x:c r="C137" s="52" t="str">
        <x:v>Seattle</x:v>
      </x:c>
      <x:c r="D137" s="52" t="str">
        <x:v>signals</x:v>
      </x:c>
      <x:c r="E137" s="52" t="str">
        <x:v>Signal timing plans</x:v>
      </x:c>
      <x:c r="F137" s="58" t="n">
        <x:v>8408439</x:v>
      </x:c>
      <x:c r="G137" s="52" t="n">
        <x:v>4</x:v>
      </x:c>
      <x:c r="H137" s="52" t="str">
        <x:v>20 intersections</x:v>
      </x:c>
      <x:c r="I137" s="58" t="n">
        <x:v>90000</x:v>
      </x:c>
      <x:c r="J137" s="55" t="n">
        <x:v>0.25</x:v>
      </x:c>
      <x:c r="K137" s="58" t="n">
        <x:f>G137*I137</x:f>
        <x:v>360000</x:v>
      </x:c>
      <x:c r="L137" s="58" t="n">
        <x:f>K137*J137</x:f>
        <x:v>90000</x:v>
      </x:c>
      <x:c r="M137" s="58" t="n">
        <x:f>K137-L137</x:f>
        <x:v>270000</x:v>
      </x:c>
      <x:c r="N137" s="61" t="n">
        <x:f>K137/F137</x:f>
        <x:v>0.04281412994730651</x:v>
      </x:c>
      <x:c r="O137" s="52" t="str">
        <x:v>police/manual traffic control and temporary timing plan</x:v>
      </x:c>
      <x:c r="P137" s="52" t="str">
        <x:v>adaptive controllers and transit signal priority</x:v>
      </x:c>
      <x:c r="Q137" s="52" t="n">
        <x:v>10</x:v>
      </x:c>
      <x:c r="R137" s="52" t="str">
        <x:v>engineering_assumption</x:v>
      </x:c>
      <x:c r="S137" s="52" t="str">
        <x:v>fta-wc26</x:v>
      </x:c>
      <x:c r="T137" s="52" t="str">
        <x:v>https://www.transit.dot.gov/funding/apportionments/fta-world-cup-funding-apportionment-table</x:v>
      </x:c>
    </x:row>
    <x:row r="138">
      <x:c r="A138" s="52" t="n">
        <x:v>11</x:v>
      </x:c>
      <x:c r="B138" s="52" t="str">
        <x:v>seattle</x:v>
      </x:c>
      <x:c r="C138" s="52" t="str">
        <x:v>Seattle</x:v>
      </x:c>
      <x:c r="D138" s="52" t="str">
        <x:v>hub</x:v>
      </x:c>
      <x:c r="E138" s="52" t="str">
        <x:v>Hub-to-stadium shuttle package</x:v>
      </x:c>
      <x:c r="F138" s="58" t="n">
        <x:v>8408439</x:v>
      </x:c>
      <x:c r="G138" s="52" t="n">
        <x:v>0</x:v>
      </x:c>
      <x:c r="H138" s="52" t="str">
        <x:v>1 hub package</x:v>
      </x:c>
      <x:c r="I138" s="58" t="n">
        <x:v>750000</x:v>
      </x:c>
      <x:c r="J138" s="55" t="n">
        <x:v>0.4</x:v>
      </x:c>
      <x:c r="K138" s="58" t="n">
        <x:f>G138*I138</x:f>
        <x:v>0</x:v>
      </x:c>
      <x:c r="L138" s="58" t="n">
        <x:f>K138*J138</x:f>
        <x:v>0</x:v>
      </x:c>
      <x:c r="M138" s="58" t="n">
        <x:f>K138-L138</x:f>
        <x:v>0</x:v>
      </x:c>
      <x:c r="N138" s="61" t="n">
        <x:f>K138/F138</x:f>
        <x:v>0</x:v>
      </x:c>
      <x:c r="O138" s="52" t="str">
        <x:v>pop-up shuttle zone; temporary shelters and dispatch</x:v>
      </x:c>
      <x:c r="P138" s="52" t="str">
        <x:v>permanent multimodal mobility hub</x:v>
      </x:c>
      <x:c r="Q138" s="52" t="n">
        <x:v>15</x:v>
      </x:c>
      <x:c r="R138" s="52" t="str">
        <x:v>engineering_assumption</x:v>
      </x:c>
      <x:c r="S138" s="52" t="str">
        <x:v>fta-wc26</x:v>
      </x:c>
      <x:c r="T138" s="52" t="str">
        <x:v>https://www.transit.dot.gov/funding/apportionments/fta-world-cup-funding-apportionment-table</x:v>
      </x:c>
    </x:row>
    <x:row r="139">
      <x:c r="A139" s="52" t="n">
        <x:v>11</x:v>
      </x:c>
      <x:c r="B139" s="52" t="str">
        <x:v>seattle</x:v>
      </x:c>
      <x:c r="C139" s="52" t="str">
        <x:v>Seattle</x:v>
      </x:c>
      <x:c r="D139" s="52" t="str">
        <x:v>parkride</x:v>
      </x:c>
      <x:c r="E139" s="52" t="str">
        <x:v>Park-and-ride package</x:v>
      </x:c>
      <x:c r="F139" s="58" t="n">
        <x:v>8408439</x:v>
      </x:c>
      <x:c r="G139" s="52" t="n">
        <x:v>0</x:v>
      </x:c>
      <x:c r="H139" s="52" t="str">
        <x:v>500 spaces</x:v>
      </x:c>
      <x:c r="I139" s="58" t="n">
        <x:v>450000</x:v>
      </x:c>
      <x:c r="J139" s="55" t="n">
        <x:v>0.5</x:v>
      </x:c>
      <x:c r="K139" s="58" t="n">
        <x:f>G139*I139</x:f>
        <x:v>0</x:v>
      </x:c>
      <x:c r="L139" s="58" t="n">
        <x:f>K139*J139</x:f>
        <x:v>0</x:v>
      </x:c>
      <x:c r="M139" s="58" t="n">
        <x:f>K139-L139</x:f>
        <x:v>0</x:v>
      </x:c>
      <x:c r="N139" s="61" t="n">
        <x:f>K139/F139</x:f>
        <x:v>0</x:v>
      </x:c>
      <x:c r="O139" s="52" t="str">
        <x:v>leased intercept lots and temporary signing</x:v>
      </x:c>
      <x:c r="P139" s="52" t="str">
        <x:v>permanent park-and-ride with charging and transit access</x:v>
      </x:c>
      <x:c r="Q139" s="52" t="n">
        <x:v>5</x:v>
      </x:c>
      <x:c r="R139" s="52" t="str">
        <x:v>engineering_assumption</x:v>
      </x:c>
      <x:c r="S139" s="52" t="str">
        <x:v>fta-wc26</x:v>
      </x:c>
      <x:c r="T139" s="52" t="str">
        <x:v>https://www.transit.dot.gov/funding/apportionments/fta-world-cup-funding-apportionment-table</x:v>
      </x:c>
    </x:row>
    <x:row r="140">
      <x:c r="A140" s="52" t="n">
        <x:v>11</x:v>
      </x:c>
      <x:c r="B140" s="52" t="str">
        <x:v>seattle</x:v>
      </x:c>
      <x:c r="C140" s="52" t="str">
        <x:v>Seattle</x:v>
      </x:c>
      <x:c r="D140" s="52" t="str">
        <x:v>ped</x:v>
      </x:c>
      <x:c r="E140" s="52" t="str">
        <x:v>Protected pedestrian corridor</x:v>
      </x:c>
      <x:c r="F140" s="58" t="n">
        <x:v>8408439</x:v>
      </x:c>
      <x:c r="G140" s="52" t="n">
        <x:v>1</x:v>
      </x:c>
      <x:c r="H140" s="52" t="str">
        <x:v>1 tactical mile</x:v>
      </x:c>
      <x:c r="I140" s="58" t="n">
        <x:v>600000</x:v>
      </x:c>
      <x:c r="J140" s="55" t="n">
        <x:v>0.35</x:v>
      </x:c>
      <x:c r="K140" s="58" t="n">
        <x:f>G140*I140</x:f>
        <x:v>600000</x:v>
      </x:c>
      <x:c r="L140" s="58" t="n">
        <x:f>K140*J140</x:f>
        <x:v>210000</x:v>
      </x:c>
      <x:c r="M140" s="58" t="n">
        <x:f>K140-L140</x:f>
        <x:v>390000</x:v>
      </x:c>
      <x:c r="N140" s="61" t="n">
        <x:f>K140/F140</x:f>
        <x:v>0.07135688324551084</x:v>
      </x:c>
      <x:c r="O140" s="52" t="str">
        <x:v>barricaded protected corridor; marshals and lighting</x:v>
      </x:c>
      <x:c r="P140" s="52" t="str">
        <x:v>widened sidewalk; lighting; drainage and separation</x:v>
      </x:c>
      <x:c r="Q140" s="52" t="n">
        <x:v>15</x:v>
      </x:c>
      <x:c r="R140" s="52" t="str">
        <x:v>engineering_assumption</x:v>
      </x:c>
      <x:c r="S140" s="52" t="str">
        <x:v>fta-wc26</x:v>
      </x:c>
      <x:c r="T140" s="52" t="str">
        <x:v>https://www.transit.dot.gov/funding/apportionments/fta-world-cup-funding-apportionment-table</x:v>
      </x:c>
    </x:row>
    <x:row r="141">
      <x:c r="A141" s="52" t="n">
        <x:v>11</x:v>
      </x:c>
      <x:c r="B141" s="52" t="str">
        <x:v>seattle</x:v>
      </x:c>
      <x:c r="C141" s="52" t="str">
        <x:v>Seattle</x:v>
      </x:c>
      <x:c r="D141" s="52" t="str">
        <x:v>bike</x:v>
      </x:c>
      <x:c r="E141" s="52" t="str">
        <x:v>Protected bicycle access</x:v>
      </x:c>
      <x:c r="F141" s="58" t="n">
        <x:v>8408439</x:v>
      </x:c>
      <x:c r="G141" s="52" t="n">
        <x:v>0</x:v>
      </x:c>
      <x:c r="H141" s="52" t="str">
        <x:v>2 route-miles + parking</x:v>
      </x:c>
      <x:c r="I141" s="58" t="n">
        <x:v>650000</x:v>
      </x:c>
      <x:c r="J141" s="55" t="n">
        <x:v>0.35</x:v>
      </x:c>
      <x:c r="K141" s="58" t="n">
        <x:f>G141*I141</x:f>
        <x:v>0</x:v>
      </x:c>
      <x:c r="L141" s="58" t="n">
        <x:f>K141*J141</x:f>
        <x:v>0</x:v>
      </x:c>
      <x:c r="M141" s="58" t="n">
        <x:f>K141-L141</x:f>
        <x:v>0</x:v>
      </x:c>
      <x:c r="N141" s="61" t="n">
        <x:f>K141/F141</x:f>
        <x:v>0</x:v>
      </x:c>
      <x:c r="O141" s="52" t="str">
        <x:v>pop-up protected lane and attended bike valet</x:v>
      </x:c>
      <x:c r="P141" s="52" t="str">
        <x:v>protected bikeway and secure long-term parking</x:v>
      </x:c>
      <x:c r="Q141" s="52" t="n">
        <x:v>15</x:v>
      </x:c>
      <x:c r="R141" s="52" t="str">
        <x:v>engineering_assumption</x:v>
      </x:c>
      <x:c r="S141" s="52" t="str">
        <x:v>fta-wc26</x:v>
      </x:c>
      <x:c r="T141" s="52" t="str">
        <x:v>https://www.transit.dot.gov/funding/apportionments/fta-world-cup-funding-apportionment-table</x:v>
      </x:c>
    </x:row>
    <x:row r="142">
      <x:c r="A142" s="52" t="n">
        <x:v>11</x:v>
      </x:c>
      <x:c r="B142" s="52" t="str">
        <x:v>seattle</x:v>
      </x:c>
      <x:c r="C142" s="52" t="str">
        <x:v>Seattle</x:v>
      </x:c>
      <x:c r="D142" s="52" t="str">
        <x:v>tnc</x:v>
      </x:c>
      <x:c r="E142" s="52" t="str">
        <x:v>Managed rideshare hub</x:v>
      </x:c>
      <x:c r="F142" s="58" t="n">
        <x:v>8408439</x:v>
      </x:c>
      <x:c r="G142" s="52" t="n">
        <x:v>1</x:v>
      </x:c>
      <x:c r="H142" s="52" t="str">
        <x:v>1 staffed hub</x:v>
      </x:c>
      <x:c r="I142" s="58" t="n">
        <x:v>400000</x:v>
      </x:c>
      <x:c r="J142" s="55" t="n">
        <x:v>0.5</x:v>
      </x:c>
      <x:c r="K142" s="58" t="n">
        <x:f>G142*I142</x:f>
        <x:v>400000</x:v>
      </x:c>
      <x:c r="L142" s="58" t="n">
        <x:f>K142*J142</x:f>
        <x:v>200000</x:v>
      </x:c>
      <x:c r="M142" s="58" t="n">
        <x:f>K142-L142</x:f>
        <x:v>200000</x:v>
      </x:c>
      <x:c r="N142" s="61" t="n">
        <x:f>K142/F142</x:f>
        <x:v>0.047571255497007234</x:v>
      </x:c>
      <x:c r="O142" s="52" t="str">
        <x:v>staffed geofenced pickup with temporary lane control</x:v>
      </x:c>
      <x:c r="P142" s="52" t="str">
        <x:v>off-street rideshare hub with accessible bays</x:v>
      </x:c>
      <x:c r="Q142" s="52" t="n">
        <x:v>10</x:v>
      </x:c>
      <x:c r="R142" s="52" t="str">
        <x:v>engineering_assumption</x:v>
      </x:c>
      <x:c r="S142" s="52" t="str">
        <x:v>fta-wc26</x:v>
      </x:c>
      <x:c r="T142" s="52" t="str">
        <x:v>https://www.transit.dot.gov/funding/apportionments/fta-world-cup-funding-apportionment-table</x:v>
      </x:c>
    </x:row>
    <x:row r="143">
      <x:c r="A143" s="52" t="n">
        <x:v>11</x:v>
      </x:c>
      <x:c r="B143" s="52" t="str">
        <x:v>seattle</x:v>
      </x:c>
      <x:c r="C143" s="52" t="str">
        <x:v>Seattle</x:v>
      </x:c>
      <x:c r="D143" s="52" t="str">
        <x:v>wayfinding</x:v>
      </x:c>
      <x:c r="E143" s="52" t="str">
        <x:v>Multilingual wayfinding</x:v>
      </x:c>
      <x:c r="F143" s="58" t="n">
        <x:v>8408439</x:v>
      </x:c>
      <x:c r="G143" s="52" t="n">
        <x:v>1</x:v>
      </x:c>
      <x:c r="H143" s="52" t="str">
        <x:v>city package</x:v>
      </x:c>
      <x:c r="I143" s="58" t="n">
        <x:v>300000</x:v>
      </x:c>
      <x:c r="J143" s="55" t="n">
        <x:v>0.45</x:v>
      </x:c>
      <x:c r="K143" s="58" t="n">
        <x:f>G143*I143</x:f>
        <x:v>300000</x:v>
      </x:c>
      <x:c r="L143" s="58" t="n">
        <x:f>K143*J143</x:f>
        <x:v>135000</x:v>
      </x:c>
      <x:c r="M143" s="58" t="n">
        <x:f>K143-L143</x:f>
        <x:v>165000</x:v>
      </x:c>
      <x:c r="N143" s="61" t="n">
        <x:f>K143/F143</x:f>
        <x:v>0.03567844162275542</x:v>
      </x:c>
      <x:c r="O143" s="52" t="str">
        <x:v>portable signs; digital messages; multilingual ambassadors</x:v>
      </x:c>
      <x:c r="P143" s="52" t="str">
        <x:v>fixed multilingual physical and digital wayfinding</x:v>
      </x:c>
      <x:c r="Q143" s="52" t="n">
        <x:v>7</x:v>
      </x:c>
      <x:c r="R143" s="52" t="str">
        <x:v>engineering_assumption</x:v>
      </x:c>
      <x:c r="S143" s="52" t="str">
        <x:v>fta-wc26</x:v>
      </x:c>
      <x:c r="T143" s="52" t="str">
        <x:v>https://www.transit.dot.gov/funding/apportionments/fta-world-cup-funding-apportionment-table</x:v>
      </x:c>
    </x:row>
    <x:row r="144">
      <x:c r="A144" s="52" t="n">
        <x:v>11</x:v>
      </x:c>
      <x:c r="B144" s="52" t="str">
        <x:v>seattle</x:v>
      </x:c>
      <x:c r="C144" s="52" t="str">
        <x:v>Seattle</x:v>
      </x:c>
      <x:c r="D144" s="52" t="str">
        <x:v>station</x:v>
      </x:c>
      <x:c r="E144" s="52" t="str">
        <x:v>Station-capacity package</x:v>
      </x:c>
      <x:c r="F144" s="58" t="n">
        <x:v>8408439</x:v>
      </x:c>
      <x:c r="G144" s="52" t="n">
        <x:v>2</x:v>
      </x:c>
      <x:c r="H144" s="52" t="str">
        <x:v>1 station</x:v>
      </x:c>
      <x:c r="I144" s="58" t="n">
        <x:v>1250000</x:v>
      </x:c>
      <x:c r="J144" s="55" t="n">
        <x:v>0.2</x:v>
      </x:c>
      <x:c r="K144" s="58" t="n">
        <x:f>G144*I144</x:f>
        <x:v>2500000</x:v>
      </x:c>
      <x:c r="L144" s="58" t="n">
        <x:f>K144*J144</x:f>
        <x:v>500000</x:v>
      </x:c>
      <x:c r="M144" s="58" t="n">
        <x:f>K144-L144</x:f>
        <x:v>2000000</x:v>
      </x:c>
      <x:c r="N144" s="61" t="n">
        <x:f>K144/F144</x:f>
        <x:v>0.2973203468562952</x:v>
      </x:c>
      <x:c r="O144" s="52" t="str">
        <x:v>temporary gates; queue barriers; portable fare equipment</x:v>
      </x:c>
      <x:c r="P144" s="52" t="str">
        <x:v>platform, entry and circulation expansion</x:v>
      </x:c>
      <x:c r="Q144" s="52" t="n">
        <x:v>25</x:v>
      </x:c>
      <x:c r="R144" s="52" t="str">
        <x:v>engineering_assumption</x:v>
      </x:c>
      <x:c r="S144" s="52" t="str">
        <x:v>fta-wc26</x:v>
      </x:c>
      <x:c r="T144" s="52" t="str">
        <x:v>https://www.transit.dot.gov/funding/apportionments/fta-world-cup-funding-apportionment-table</x:v>
      </x:c>
    </x:row>
    <x:row r="145">
      <x:c r="A145" s="52" t="n">
        <x:v>11</x:v>
      </x:c>
      <x:c r="B145" s="52" t="str">
        <x:v>seattle</x:v>
      </x:c>
      <x:c r="C145" s="52" t="str">
        <x:v>Seattle</x:v>
      </x:c>
      <x:c r="D145" s="52" t="str">
        <x:v>toc</x:v>
      </x:c>
      <x:c r="E145" s="52" t="str">
        <x:v>Integrated traffic operations</x:v>
      </x:c>
      <x:c r="F145" s="58" t="n">
        <x:v>8408439</x:v>
      </x:c>
      <x:c r="G145" s="52" t="n">
        <x:v>2</x:v>
      </x:c>
      <x:c r="H145" s="52" t="str">
        <x:v>city package</x:v>
      </x:c>
      <x:c r="I145" s="58" t="n">
        <x:v>750000</x:v>
      </x:c>
      <x:c r="J145" s="55" t="n">
        <x:v>0.25</x:v>
      </x:c>
      <x:c r="K145" s="58" t="n">
        <x:f>G145*I145</x:f>
        <x:v>1500000</x:v>
      </x:c>
      <x:c r="L145" s="58" t="n">
        <x:f>K145*J145</x:f>
        <x:v>375000</x:v>
      </x:c>
      <x:c r="M145" s="58" t="n">
        <x:f>K145-L145</x:f>
        <x:v>1125000</x:v>
      </x:c>
      <x:c r="N145" s="61" t="n">
        <x:f>K145/F145</x:f>
        <x:v>0.17839220811377712</x:v>
      </x:c>
      <x:c r="O145" s="52" t="str">
        <x:v>unified incident command and temporary sensor feeds</x:v>
      </x:c>
      <x:c r="P145" s="52" t="str">
        <x:v>integrated operations center and adaptive dispatch</x:v>
      </x:c>
      <x:c r="Q145" s="52" t="n">
        <x:v>10</x:v>
      </x:c>
      <x:c r="R145" s="52" t="str">
        <x:v>engineering_assumption</x:v>
      </x:c>
      <x:c r="S145" s="52" t="str">
        <x:v>fta-wc26</x:v>
      </x:c>
      <x:c r="T145" s="52" t="str">
        <x:v>https://www.transit.dot.gov/funding/apportionments/fta-world-cup-funding-apportionment-table</x:v>
      </x:c>
    </x:row>
    <x:row r="146">
      <x:c r="A146" s="52" t="n">
        <x:v>11</x:v>
      </x:c>
      <x:c r="B146" s="52" t="str">
        <x:v>seattle</x:v>
      </x:c>
      <x:c r="C146" s="52" t="str">
        <x:v>Seattle</x:v>
      </x:c>
      <x:c r="D146" s="52" t="str">
        <x:v>access</x:v>
      </x:c>
      <x:c r="E146" s="52" t="str">
        <x:v>ADA/microtransit access</x:v>
      </x:c>
      <x:c r="F146" s="58" t="n">
        <x:v>8408439</x:v>
      </x:c>
      <x:c r="G146" s="52" t="n">
        <x:v>0</x:v>
      </x:c>
      <x:c r="H146" s="52" t="str">
        <x:v>city package</x:v>
      </x:c>
      <x:c r="I146" s="58" t="n">
        <x:v>500000</x:v>
      </x:c>
      <x:c r="J146" s="55" t="n">
        <x:v>0.3</x:v>
      </x:c>
      <x:c r="K146" s="58" t="n">
        <x:f>G146*I146</x:f>
        <x:v>0</x:v>
      </x:c>
      <x:c r="L146" s="58" t="n">
        <x:f>K146*J146</x:f>
        <x:v>0</x:v>
      </x:c>
      <x:c r="M146" s="58" t="n">
        <x:f>K146-L146</x:f>
        <x:v>0</x:v>
      </x:c>
      <x:c r="N146" s="61" t="n">
        <x:f>K146/F146</x:f>
        <x:v>0</x:v>
      </x:c>
      <x:c r="O146" s="52" t="str">
        <x:v>accessible shuttles; temporary ramps and staffed assistance</x:v>
      </x:c>
      <x:c r="P146" s="52" t="str">
        <x:v>ADA ramps; tactile guidance; accessible first/last-mile network</x:v>
      </x:c>
      <x:c r="Q146" s="52" t="n">
        <x:v>15</x:v>
      </x:c>
      <x:c r="R146" s="52" t="str">
        <x:v>engineering_assumption</x:v>
      </x:c>
      <x:c r="S146" s="52" t="str">
        <x:v>fta-wc26</x:v>
      </x:c>
      <x:c r="T146" s="52" t="str">
        <x:v>https://www.transit.dot.gov/funding/apportionments/fta-world-cup-funding-apportionment-table</x:v>
      </x:c>
    </x:row>
    <x:row r="147">
      <x:c r="A147" s="57" t="n">
        <x:v>11</x:v>
      </x:c>
      <x:c r="B147" s="57" t="str">
        <x:v>seattle</x:v>
      </x:c>
      <x:c r="C147" s="57" t="str">
        <x:v>Seattle</x:v>
      </x:c>
      <x:c r="D147" s="57" t="str">
        <x:v>reserve</x:v>
      </x:c>
      <x:c r="E147" s="57" t="str">
        <x:v>Unassigned program reserve</x:v>
      </x:c>
      <x:c r="F147" s="59" t="n">
        <x:v>8408439</x:v>
      </x:c>
      <x:c r="G147" s="57" t="n">
        <x:v>1</x:v>
      </x:c>
      <x:c r="H147" s="57" t="str">
        <x:v>residual</x:v>
      </x:c>
      <x:c r="I147" s="59"/>
      <x:c r="J147" s="60" t="n">
        <x:v>0</x:v>
      </x:c>
      <x:c r="K147" s="59" t="n">
        <x:f>F147-SUM(K135:K146)</x:f>
        <x:v>18439</x:v>
      </x:c>
      <x:c r="L147" s="59" t="n">
        <x:v>0</x:v>
      </x:c>
      <x:c r="M147" s="59" t="n">
        <x:v>0</x:v>
      </x:c>
      <x:c r="N147" s="62" t="n">
        <x:f>K147/F147</x:f>
        <x:v>0.0021929159502732908</x:v>
      </x:c>
      <x:c r="O147" s="57" t="str">
        <x:v>Not committed in this demonstration model</x:v>
      </x:c>
      <x:c r="P147" s="57" t="str">
        <x:v>Release only after engineering, operations and contingency review</x:v>
      </x:c>
      <x:c r="Q147" s="57" t="n">
        <x:v>0</x:v>
      </x:c>
      <x:c r="R147" s="57" t="str">
        <x:v>formula_residual</x:v>
      </x:c>
      <x:c r="S147" s="57" t="str">
        <x:v>fta-wc26</x:v>
      </x:c>
      <x:c r="T147" s="57" t="str">
        <x:v>https://www.transit.dot.gov/funding/apportionments/fta-world-cup-funding-apportionment-table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b1329e52b5334f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16" hidden="0" customWidth="1"/>
    <x:col min="4" max="4" width="25" hidden="0" customWidth="1"/>
    <x:col min="5" max="5" width="15" hidden="0" customWidth="1"/>
    <x:col min="6" max="6" width="32" hidden="0" customWidth="1"/>
    <x:col min="7" max="7" width="14" hidden="0" customWidth="1"/>
    <x:col min="8" max="8" width="25" hidden="0" customWidth="1"/>
    <x:col min="9" max="9" width="18" hidden="0" customWidth="1"/>
    <x:col min="10" max="10" width="45" hidden="0" customWidth="1"/>
    <x:col min="11" max="11" width="14" hidden="0" customWidth="1"/>
    <x:col min="12" max="12" width="14" hidden="0" customWidth="1"/>
    <x:col min="13" max="13" width="18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  <x:col min="18" max="18" width="16" hidden="0" customWidth="1"/>
    <x:col min="19" max="19" width="15" hidden="0" customWidth="1"/>
    <x:col min="20" max="20" width="14" hidden="0" customWidth="1"/>
    <x:col min="21" max="21" width="13" hidden="0" customWidth="1"/>
    <x:col min="22" max="22" width="20" hidden="0" customWidth="1"/>
    <x:col min="23" max="23" width="18" hidden="0" customWidth="1"/>
    <x:col min="24" max="24" width="52" hidden="0" customWidth="1"/>
    <x:col min="25" max="25" width="22" hidden="0" customWidth="1"/>
    <x:col min="26" max="26" width="25" hidden="0" customWidth="1"/>
    <x:col min="27" max="27" width="24" hidden="0" customWidth="1"/>
    <x:col min="28" max="28" width="68" hidden="0" customWidth="1"/>
  </x:cols>
  <x:sheetData>
    <x:row r="1" ht="30" customHeight="1">
      <x:c r="A1" s="43" t="str">
        <x:v>Temporary + Permanent 3D Intervention Registry</x:v>
      </x:c>
    </x:row>
    <x:row r="2" ht="40" customHeight="1">
      <x:c r="A2" s="46" t="str">
        <x:v>Two rows exist for every host region × intervention category: one temporary and one permanent phase. allocation_usd is formula-linked to Funding Categories. Render only rows with render_enabled = Yes. Dimensions and anchors are conceptual.</x:v>
      </x:c>
    </x:row>
    <x:row r="4">
      <x:c r="A4" s="49" t="str">
        <x:v>project_id</x:v>
      </x:c>
      <x:c r="B4" s="49" t="str">
        <x:v>host_region_code</x:v>
      </x:c>
      <x:c r="C4" s="49" t="str">
        <x:v>city_id</x:v>
      </x:c>
      <x:c r="D4" s="49" t="str">
        <x:v>host_region</x:v>
      </x:c>
      <x:c r="E4" s="49" t="str">
        <x:v>category</x:v>
      </x:c>
      <x:c r="F4" s="49" t="str">
        <x:v>category_name</x:v>
      </x:c>
      <x:c r="G4" s="49" t="str">
        <x:v>phase</x:v>
      </x:c>
      <x:c r="H4" s="49" t="str">
        <x:v>area_id</x:v>
      </x:c>
      <x:c r="I4" s="49" t="str">
        <x:v>area_short_code</x:v>
      </x:c>
      <x:c r="J4" s="49" t="str">
        <x:v>exact_area_name</x:v>
      </x:c>
      <x:c r="K4" s="49" t="str">
        <x:v>latitude</x:v>
      </x:c>
      <x:c r="L4" s="49" t="str">
        <x:v>longitude</x:v>
      </x:c>
      <x:c r="M4" s="49" t="str">
        <x:v>analysis_radius_m</x:v>
      </x:c>
      <x:c r="N4" s="49" t="str">
        <x:v>geometry_type</x:v>
      </x:c>
      <x:c r="O4" s="49" t="str">
        <x:v>length_m</x:v>
      </x:c>
      <x:c r="P4" s="49" t="str">
        <x:v>width_m</x:v>
      </x:c>
      <x:c r="Q4" s="49" t="str">
        <x:v>height_m</x:v>
      </x:c>
      <x:c r="R4" s="49" t="str">
        <x:v>bearing_deg</x:v>
      </x:c>
      <x:c r="S4" s="49" t="str">
        <x:v>z_offset_m</x:v>
      </x:c>
      <x:c r="T4" s="49" t="str">
        <x:v>color_hex</x:v>
      </x:c>
      <x:c r="U4" s="49" t="str">
        <x:v>opacity</x:v>
      </x:c>
      <x:c r="V4" s="49" t="str">
        <x:v>allocation_usd</x:v>
      </x:c>
      <x:c r="W4" s="49" t="str">
        <x:v>render_enabled</x:v>
      </x:c>
      <x:c r="X4" s="49" t="str">
        <x:v>design_description</x:v>
      </x:c>
      <x:c r="Y4" s="49" t="str">
        <x:v>implementation_status</x:v>
      </x:c>
      <x:c r="Z4" s="49" t="str">
        <x:v>spatial_precision</x:v>
      </x:c>
      <x:c r="AA4" s="49" t="str">
        <x:v>evidence_class</x:v>
      </x:c>
      <x:c r="AB4" s="49" t="str">
        <x:v>source_url</x:v>
      </x:c>
    </x:row>
    <x:row r="5">
      <x:c r="A5" s="52" t="str">
        <x:v>atlanta-service-TMP</x:v>
      </x:c>
      <x:c r="B5" s="52" t="n">
        <x:v>1</x:v>
      </x:c>
      <x:c r="C5" s="52" t="str">
        <x:v>atlanta</x:v>
      </x:c>
      <x:c r="D5" s="52" t="str">
        <x:v>Atlanta</x:v>
      </x:c>
      <x:c r="E5" s="52" t="str">
        <x:v>service</x:v>
      </x:c>
      <x:c r="F5" s="52" t="str">
        <x:v>Extra transit service</x:v>
      </x:c>
      <x:c r="G5" s="52" t="str">
        <x:v>temporary</x:v>
      </x:c>
      <x:c r="H5" s="52" t="str">
        <x:v>atl-vine-city</x:v>
      </x:c>
      <x:c r="I5" s="52" t="str">
        <x:v>ATL-VC</x:v>
      </x:c>
      <x:c r="J5" s="52" t="str">
        <x:v>Vine City Station–Northside Drive approach</x:v>
      </x:c>
      <x:c r="K5" s="53" t="n">
        <x:v>33.7565</x:v>
      </x:c>
      <x:c r="L5" s="53" t="n">
        <x:v>-84.4038</x:v>
      </x:c>
      <x:c r="M5" s="56" t="n">
        <x:v>250</x:v>
      </x:c>
      <x:c r="N5" s="56" t="str">
        <x:v>animated_route</x:v>
      </x:c>
      <x:c r="O5" s="56" t="n">
        <x:v>1500</x:v>
      </x:c>
      <x:c r="P5" s="56" t="n">
        <x:v>2</x:v>
      </x:c>
      <x:c r="Q5" s="56" t="n">
        <x:v>0.5</x:v>
      </x:c>
      <x:c r="R5" s="56" t="n">
        <x:v>29</x:v>
      </x:c>
      <x:c r="S5" s="56" t="n">
        <x:v>0.05</x:v>
      </x:c>
      <x:c r="T5" s="52" t="str">
        <x:v>#F59E0B</x:v>
      </x:c>
      <x:c r="U5" s="55" t="n">
        <x:v>0.55</x:v>
      </x:c>
      <x:c r="V5" s="58" t="n">
        <x:f>'Funding Categories'!L5</x:f>
        <x:v>1760000</x:v>
      </x:c>
      <x:c r="W5" s="52" t="str">
        <x:f>IF(V5&gt;0,"Yes","No")</x:f>
        <x:v>Yes</x:v>
      </x:c>
      <x:c r="X5" s="52" t="str">
        <x:v>extra rail/bus vehicle-hours; standby operators; event timetable</x:v>
      </x:c>
      <x:c r="Y5" s="52" t="str">
        <x:v>concept_only</x:v>
      </x:c>
      <x:c r="Z5" s="52" t="str">
        <x:v>planning_anchor ±25–100 m</x:v>
      </x:c>
      <x:c r="AA5" s="52" t="str">
        <x:v>engineering_assumption</x:v>
      </x:c>
      <x:c r="AB5" s="52" t="str">
        <x:v>https://www.itsmarta.com/Vine-City.aspx</x:v>
      </x:c>
    </x:row>
    <x:row r="6">
      <x:c r="A6" s="52" t="str">
        <x:v>atlanta-service-PERM</x:v>
      </x:c>
      <x:c r="B6" s="52" t="n">
        <x:v>1</x:v>
      </x:c>
      <x:c r="C6" s="52" t="str">
        <x:v>atlanta</x:v>
      </x:c>
      <x:c r="D6" s="52" t="str">
        <x:v>Atlanta</x:v>
      </x:c>
      <x:c r="E6" s="52" t="str">
        <x:v>service</x:v>
      </x:c>
      <x:c r="F6" s="52" t="str">
        <x:v>Extra transit service</x:v>
      </x:c>
      <x:c r="G6" s="52" t="str">
        <x:v>permanent</x:v>
      </x:c>
      <x:c r="H6" s="52" t="str">
        <x:v>atl-vine-city</x:v>
      </x:c>
      <x:c r="I6" s="52" t="str">
        <x:v>ATL-VC</x:v>
      </x:c>
      <x:c r="J6" s="52" t="str">
        <x:v>Vine City Station–Northside Drive approach</x:v>
      </x:c>
      <x:c r="K6" s="53" t="n">
        <x:v>33.7565</x:v>
      </x:c>
      <x:c r="L6" s="53" t="n">
        <x:v>-84.4038</x:v>
      </x:c>
      <x:c r="M6" s="56" t="n">
        <x:v>250</x:v>
      </x:c>
      <x:c r="N6" s="56" t="str">
        <x:v>animated_route</x:v>
      </x:c>
      <x:c r="O6" s="56" t="n">
        <x:v>1500</x:v>
      </x:c>
      <x:c r="P6" s="56" t="n">
        <x:v>2</x:v>
      </x:c>
      <x:c r="Q6" s="56" t="n">
        <x:v>1</x:v>
      </x:c>
      <x:c r="R6" s="56" t="n">
        <x:v>36</x:v>
      </x:c>
      <x:c r="S6" s="56" t="n">
        <x:v>0.1</x:v>
      </x:c>
      <x:c r="T6" s="52" t="str">
        <x:v>#2563EB</x:v>
      </x:c>
      <x:c r="U6" s="55" t="n">
        <x:v>0.85</x:v>
      </x:c>
      <x:c r="V6" s="58" t="n">
        <x:f>'Funding Categories'!M5</x:f>
        <x:v>440000</x:v>
      </x:c>
      <x:c r="W6" s="52" t="str">
        <x:f>IF(V6&gt;0,"Yes","No")</x:f>
        <x:v>Yes</x:v>
      </x:c>
      <x:c r="X6" s="52" t="str">
        <x:v>recurring major-event service plan; fleet and stabling readiness</x:v>
      </x:c>
      <x:c r="Y6" s="52" t="str">
        <x:v>concept_only</x:v>
      </x:c>
      <x:c r="Z6" s="52" t="str">
        <x:v>planning_anchor ±25–100 m</x:v>
      </x:c>
      <x:c r="AA6" s="52" t="str">
        <x:v>engineering_assumption</x:v>
      </x:c>
      <x:c r="AB6" s="52" t="str">
        <x:v>https://www.itsmarta.com/Vine-City.aspx</x:v>
      </x:c>
    </x:row>
    <x:row r="7">
      <x:c r="A7" s="52" t="str">
        <x:v>atlanta-buslane-TMP</x:v>
      </x:c>
      <x:c r="B7" s="52" t="n">
        <x:v>1</x:v>
      </x:c>
      <x:c r="C7" s="52" t="str">
        <x:v>atlanta</x:v>
      </x:c>
      <x:c r="D7" s="52" t="str">
        <x:v>Atlanta</x:v>
      </x:c>
      <x:c r="E7" s="52" t="str">
        <x:v>buslane</x:v>
      </x:c>
      <x:c r="F7" s="52" t="str">
        <x:v>Transit-priority lanes</x:v>
      </x:c>
      <x:c r="G7" s="52" t="str">
        <x:v>temporary</x:v>
      </x:c>
      <x:c r="H7" s="52" t="str">
        <x:v>atl-sec-district</x:v>
      </x:c>
      <x:c r="I7" s="52" t="str">
        <x:v>ATL-SEC</x:v>
      </x:c>
      <x:c r="J7" s="52" t="str">
        <x:v>GWCC/CNN Center–Andrew Young International Boulevard approach</x:v>
      </x:c>
      <x:c r="K7" s="53" t="n">
        <x:v>33.7564</x:v>
      </x:c>
      <x:c r="L7" s="53" t="n">
        <x:v>-84.3986</x:v>
      </x:c>
      <x:c r="M7" s="56" t="n">
        <x:v>300</x:v>
      </x:c>
      <x:c r="N7" s="56" t="str">
        <x:v>line_extrusion</x:v>
      </x:c>
      <x:c r="O7" s="56" t="n">
        <x:v>3200</x:v>
      </x:c>
      <x:c r="P7" s="56" t="n">
        <x:v>3.5</x:v>
      </x:c>
      <x:c r="Q7" s="56" t="n">
        <x:v>0.1</x:v>
      </x:c>
      <x:c r="R7" s="56" t="n">
        <x:v>46</x:v>
      </x:c>
      <x:c r="S7" s="56" t="n">
        <x:v>0.05</x:v>
      </x:c>
      <x:c r="T7" s="52" t="str">
        <x:v>#F59E0B</x:v>
      </x:c>
      <x:c r="U7" s="55" t="n">
        <x:v>0.55</x:v>
      </x:c>
      <x:c r="V7" s="58" t="n">
        <x:f>'Funding Categories'!L6</x:f>
        <x:v>486000</x:v>
      </x:c>
      <x:c r="W7" s="52" t="str">
        <x:f>IF(V7&gt;0,"Yes","No")</x:f>
        <x:v>Yes</x:v>
      </x:c>
      <x:c r="X7" s="52" t="str">
        <x:v>cone- and paint-defined bus lane with enforcement</x:v>
      </x:c>
      <x:c r="Y7" s="52" t="str">
        <x:v>concept_only</x:v>
      </x:c>
      <x:c r="Z7" s="52" t="str">
        <x:v>planning_anchor ±25–100 m</x:v>
      </x:c>
      <x:c r="AA7" s="52" t="str">
        <x:v>engineering_assumption</x:v>
      </x:c>
      <x:c r="AB7" s="52" t="str">
        <x:v>https://www.mercedesbenzstadium.com/stadium-maps</x:v>
      </x:c>
    </x:row>
    <x:row r="8">
      <x:c r="A8" s="52" t="str">
        <x:v>atlanta-buslane-PERM</x:v>
      </x:c>
      <x:c r="B8" s="52" t="n">
        <x:v>1</x:v>
      </x:c>
      <x:c r="C8" s="52" t="str">
        <x:v>atlanta</x:v>
      </x:c>
      <x:c r="D8" s="52" t="str">
        <x:v>Atlanta</x:v>
      </x:c>
      <x:c r="E8" s="52" t="str">
        <x:v>buslane</x:v>
      </x:c>
      <x:c r="F8" s="52" t="str">
        <x:v>Transit-priority lanes</x:v>
      </x:c>
      <x:c r="G8" s="52" t="str">
        <x:v>permanent</x:v>
      </x:c>
      <x:c r="H8" s="52" t="str">
        <x:v>atl-sec-district</x:v>
      </x:c>
      <x:c r="I8" s="52" t="str">
        <x:v>ATL-SEC</x:v>
      </x:c>
      <x:c r="J8" s="52" t="str">
        <x:v>GWCC/CNN Center–Andrew Young International Boulevard approach</x:v>
      </x:c>
      <x:c r="K8" s="53" t="n">
        <x:v>33.7564</x:v>
      </x:c>
      <x:c r="L8" s="53" t="n">
        <x:v>-84.3986</x:v>
      </x:c>
      <x:c r="M8" s="56" t="n">
        <x:v>300</x:v>
      </x:c>
      <x:c r="N8" s="56" t="str">
        <x:v>line_extrusion</x:v>
      </x:c>
      <x:c r="O8" s="56" t="n">
        <x:v>3200</x:v>
      </x:c>
      <x:c r="P8" s="56" t="n">
        <x:v>3.5</x:v>
      </x:c>
      <x:c r="Q8" s="56" t="n">
        <x:v>0.1</x:v>
      </x:c>
      <x:c r="R8" s="56" t="n">
        <x:v>53</x:v>
      </x:c>
      <x:c r="S8" s="56" t="n">
        <x:v>0.1</x:v>
      </x:c>
      <x:c r="T8" s="52" t="str">
        <x:v>#2563EB</x:v>
      </x:c>
      <x:c r="U8" s="55" t="n">
        <x:v>0.85</x:v>
      </x:c>
      <x:c r="V8" s="58" t="n">
        <x:f>'Funding Categories'!M6</x:f>
        <x:v>594000</x:v>
      </x:c>
      <x:c r="W8" s="52" t="str">
        <x:f>IF(V8&gt;0,"Yes","No")</x:f>
        <x:v>Yes</x:v>
      </x:c>
      <x:c r="X8" s="52" t="str">
        <x:v>dedicated or peak-period transit-priority lane</x:v>
      </x:c>
      <x:c r="Y8" s="52" t="str">
        <x:v>concept_only</x:v>
      </x:c>
      <x:c r="Z8" s="52" t="str">
        <x:v>planning_anchor ±25–100 m</x:v>
      </x:c>
      <x:c r="AA8" s="52" t="str">
        <x:v>engineering_assumption</x:v>
      </x:c>
      <x:c r="AB8" s="52" t="str">
        <x:v>https://www.mercedesbenzstadium.com/stadium-maps</x:v>
      </x:c>
    </x:row>
    <x:row r="9">
      <x:c r="A9" s="52" t="str">
        <x:v>atlanta-signals-TMP</x:v>
      </x:c>
      <x:c r="B9" s="52" t="n">
        <x:v>1</x:v>
      </x:c>
      <x:c r="C9" s="52" t="str">
        <x:v>atlanta</x:v>
      </x:c>
      <x:c r="D9" s="52" t="str">
        <x:v>Atlanta</x:v>
      </x:c>
      <x:c r="E9" s="52" t="str">
        <x:v>signals</x:v>
      </x:c>
      <x:c r="F9" s="52" t="str">
        <x:v>Signal timing plans</x:v>
      </x:c>
      <x:c r="G9" s="52" t="str">
        <x:v>temporary</x:v>
      </x:c>
      <x:c r="H9" s="52" t="str">
        <x:v>atl-sec-district</x:v>
      </x:c>
      <x:c r="I9" s="52" t="str">
        <x:v>ATL-SEC</x:v>
      </x:c>
      <x:c r="J9" s="52" t="str">
        <x:v>GWCC/CNN Center–Andrew Young International Boulevard approach</x:v>
      </x:c>
      <x:c r="K9" s="53" t="n">
        <x:v>33.7564</x:v>
      </x:c>
      <x:c r="L9" s="53" t="n">
        <x:v>-84.3986</x:v>
      </x:c>
      <x:c r="M9" s="56" t="n">
        <x:v>300</x:v>
      </x:c>
      <x:c r="N9" s="56" t="str">
        <x:v>point_model</x:v>
      </x:c>
      <x:c r="O9" s="56" t="n">
        <x:v>1</x:v>
      </x:c>
      <x:c r="P9" s="56" t="n">
        <x:v>1</x:v>
      </x:c>
      <x:c r="Q9" s="56" t="n">
        <x:v>3</x:v>
      </x:c>
      <x:c r="R9" s="56" t="n">
        <x:v>63</x:v>
      </x:c>
      <x:c r="S9" s="56" t="n">
        <x:v>0.05</x:v>
      </x:c>
      <x:c r="T9" s="52" t="str">
        <x:v>#F59E0B</x:v>
      </x:c>
      <x:c r="U9" s="55" t="n">
        <x:v>0.55</x:v>
      </x:c>
      <x:c r="V9" s="58" t="n">
        <x:f>'Funding Categories'!L7</x:f>
        <x:v>90000</x:v>
      </x:c>
      <x:c r="W9" s="52" t="str">
        <x:f>IF(V9&gt;0,"Yes","No")</x:f>
        <x:v>Yes</x:v>
      </x:c>
      <x:c r="X9" s="52" t="str">
        <x:v>police/manual traffic control and temporary timing plan</x:v>
      </x:c>
      <x:c r="Y9" s="52" t="str">
        <x:v>concept_only</x:v>
      </x:c>
      <x:c r="Z9" s="52" t="str">
        <x:v>planning_anchor ±25–100 m</x:v>
      </x:c>
      <x:c r="AA9" s="52" t="str">
        <x:v>engineering_assumption</x:v>
      </x:c>
      <x:c r="AB9" s="52" t="str">
        <x:v>https://www.mercedesbenzstadium.com/stadium-maps</x:v>
      </x:c>
    </x:row>
    <x:row r="10">
      <x:c r="A10" s="52" t="str">
        <x:v>atlanta-signals-PERM</x:v>
      </x:c>
      <x:c r="B10" s="52" t="n">
        <x:v>1</x:v>
      </x:c>
      <x:c r="C10" s="52" t="str">
        <x:v>atlanta</x:v>
      </x:c>
      <x:c r="D10" s="52" t="str">
        <x:v>Atlanta</x:v>
      </x:c>
      <x:c r="E10" s="52" t="str">
        <x:v>signals</x:v>
      </x:c>
      <x:c r="F10" s="52" t="str">
        <x:v>Signal timing plans</x:v>
      </x:c>
      <x:c r="G10" s="52" t="str">
        <x:v>permanent</x:v>
      </x:c>
      <x:c r="H10" s="52" t="str">
        <x:v>atl-sec-district</x:v>
      </x:c>
      <x:c r="I10" s="52" t="str">
        <x:v>ATL-SEC</x:v>
      </x:c>
      <x:c r="J10" s="52" t="str">
        <x:v>GWCC/CNN Center–Andrew Young International Boulevard approach</x:v>
      </x:c>
      <x:c r="K10" s="53" t="n">
        <x:v>33.7564</x:v>
      </x:c>
      <x:c r="L10" s="53" t="n">
        <x:v>-84.3986</x:v>
      </x:c>
      <x:c r="M10" s="56" t="n">
        <x:v>300</x:v>
      </x:c>
      <x:c r="N10" s="56" t="str">
        <x:v>point_model</x:v>
      </x:c>
      <x:c r="O10" s="56" t="n">
        <x:v>1</x:v>
      </x:c>
      <x:c r="P10" s="56" t="n">
        <x:v>1</x:v>
      </x:c>
      <x:c r="Q10" s="56" t="n">
        <x:v>6</x:v>
      </x:c>
      <x:c r="R10" s="56" t="n">
        <x:v>70</x:v>
      </x:c>
      <x:c r="S10" s="56" t="n">
        <x:v>0.1</x:v>
      </x:c>
      <x:c r="T10" s="52" t="str">
        <x:v>#2563EB</x:v>
      </x:c>
      <x:c r="U10" s="55" t="n">
        <x:v>0.85</x:v>
      </x:c>
      <x:c r="V10" s="58" t="n">
        <x:f>'Funding Categories'!M7</x:f>
        <x:v>270000</x:v>
      </x:c>
      <x:c r="W10" s="52" t="str">
        <x:f>IF(V10&gt;0,"Yes","No")</x:f>
        <x:v>Yes</x:v>
      </x:c>
      <x:c r="X10" s="52" t="str">
        <x:v>adaptive controllers and transit signal priority</x:v>
      </x:c>
      <x:c r="Y10" s="52" t="str">
        <x:v>concept_only</x:v>
      </x:c>
      <x:c r="Z10" s="52" t="str">
        <x:v>planning_anchor ±25–100 m</x:v>
      </x:c>
      <x:c r="AA10" s="52" t="str">
        <x:v>engineering_assumption</x:v>
      </x:c>
      <x:c r="AB10" s="52" t="str">
        <x:v>https://www.mercedesbenzstadium.com/stadium-maps</x:v>
      </x:c>
    </x:row>
    <x:row r="11">
      <x:c r="A11" s="52" t="str">
        <x:v>atlanta-hub-TMP</x:v>
      </x:c>
      <x:c r="B11" s="52" t="n">
        <x:v>1</x:v>
      </x:c>
      <x:c r="C11" s="52" t="str">
        <x:v>atlanta</x:v>
      </x:c>
      <x:c r="D11" s="52" t="str">
        <x:v>Atlanta</x:v>
      </x:c>
      <x:c r="E11" s="52" t="str">
        <x:v>hub</x:v>
      </x:c>
      <x:c r="F11" s="52" t="str">
        <x:v>Hub-to-stadium shuttle package</x:v>
      </x:c>
      <x:c r="G11" s="52" t="str">
        <x:v>temporary</x:v>
      </x:c>
      <x:c r="H11" s="52" t="str">
        <x:v>atl-sec-district</x:v>
      </x:c>
      <x:c r="I11" s="52" t="str">
        <x:v>ATL-SEC</x:v>
      </x:c>
      <x:c r="J11" s="52" t="str">
        <x:v>GWCC/CNN Center–Andrew Young International Boulevard approach</x:v>
      </x:c>
      <x:c r="K11" s="53" t="n">
        <x:v>33.7564</x:v>
      </x:c>
      <x:c r="L11" s="53" t="n">
        <x:v>-84.3986</x:v>
      </x:c>
      <x:c r="M11" s="56" t="n">
        <x:v>300</x:v>
      </x:c>
      <x:c r="N11" s="56" t="str">
        <x:v>polygon_extrusion</x:v>
      </x:c>
      <x:c r="O11" s="56" t="n">
        <x:v>90</x:v>
      </x:c>
      <x:c r="P11" s="56" t="n">
        <x:v>60</x:v>
      </x:c>
      <x:c r="Q11" s="56" t="n">
        <x:v>3</x:v>
      </x:c>
      <x:c r="R11" s="56" t="n">
        <x:v>80</x:v>
      </x:c>
      <x:c r="S11" s="56" t="n">
        <x:v>0.05</x:v>
      </x:c>
      <x:c r="T11" s="52" t="str">
        <x:v>#F59E0B</x:v>
      </x:c>
      <x:c r="U11" s="55" t="n">
        <x:v>0.55</x:v>
      </x:c>
      <x:c r="V11" s="58" t="n">
        <x:f>'Funding Categories'!L8</x:f>
        <x:v>300000</x:v>
      </x:c>
      <x:c r="W11" s="52" t="str">
        <x:f>IF(V11&gt;0,"Yes","No")</x:f>
        <x:v>Yes</x:v>
      </x:c>
      <x:c r="X11" s="52" t="str">
        <x:v>pop-up shuttle zone; temporary shelters and dispatch</x:v>
      </x:c>
      <x:c r="Y11" s="52" t="str">
        <x:v>concept_only</x:v>
      </x:c>
      <x:c r="Z11" s="52" t="str">
        <x:v>planning_anchor ±25–100 m</x:v>
      </x:c>
      <x:c r="AA11" s="52" t="str">
        <x:v>engineering_assumption</x:v>
      </x:c>
      <x:c r="AB11" s="52" t="str">
        <x:v>https://www.mercedesbenzstadium.com/stadium-maps</x:v>
      </x:c>
    </x:row>
    <x:row r="12">
      <x:c r="A12" s="52" t="str">
        <x:v>atlanta-hub-PERM</x:v>
      </x:c>
      <x:c r="B12" s="52" t="n">
        <x:v>1</x:v>
      </x:c>
      <x:c r="C12" s="52" t="str">
        <x:v>atlanta</x:v>
      </x:c>
      <x:c r="D12" s="52" t="str">
        <x:v>Atlanta</x:v>
      </x:c>
      <x:c r="E12" s="52" t="str">
        <x:v>hub</x:v>
      </x:c>
      <x:c r="F12" s="52" t="str">
        <x:v>Hub-to-stadium shuttle package</x:v>
      </x:c>
      <x:c r="G12" s="52" t="str">
        <x:v>permanent</x:v>
      </x:c>
      <x:c r="H12" s="52" t="str">
        <x:v>atl-sec-district</x:v>
      </x:c>
      <x:c r="I12" s="52" t="str">
        <x:v>ATL-SEC</x:v>
      </x:c>
      <x:c r="J12" s="52" t="str">
        <x:v>GWCC/CNN Center–Andrew Young International Boulevard approach</x:v>
      </x:c>
      <x:c r="K12" s="53" t="n">
        <x:v>33.7564</x:v>
      </x:c>
      <x:c r="L12" s="53" t="n">
        <x:v>-84.3986</x:v>
      </x:c>
      <x:c r="M12" s="56" t="n">
        <x:v>300</x:v>
      </x:c>
      <x:c r="N12" s="56" t="str">
        <x:v>polygon_extrusion</x:v>
      </x:c>
      <x:c r="O12" s="56" t="n">
        <x:v>90</x:v>
      </x:c>
      <x:c r="P12" s="56" t="n">
        <x:v>60</x:v>
      </x:c>
      <x:c r="Q12" s="56" t="n">
        <x:v>6</x:v>
      </x:c>
      <x:c r="R12" s="56" t="n">
        <x:v>87</x:v>
      </x:c>
      <x:c r="S12" s="56" t="n">
        <x:v>0.1</x:v>
      </x:c>
      <x:c r="T12" s="52" t="str">
        <x:v>#2563EB</x:v>
      </x:c>
      <x:c r="U12" s="55" t="n">
        <x:v>0.85</x:v>
      </x:c>
      <x:c r="V12" s="58" t="n">
        <x:f>'Funding Categories'!M8</x:f>
        <x:v>450000</x:v>
      </x:c>
      <x:c r="W12" s="52" t="str">
        <x:f>IF(V12&gt;0,"Yes","No")</x:f>
        <x:v>Yes</x:v>
      </x:c>
      <x:c r="X12" s="52" t="str">
        <x:v>permanent multimodal mobility hub</x:v>
      </x:c>
      <x:c r="Y12" s="52" t="str">
        <x:v>concept_only</x:v>
      </x:c>
      <x:c r="Z12" s="52" t="str">
        <x:v>planning_anchor ±25–100 m</x:v>
      </x:c>
      <x:c r="AA12" s="52" t="str">
        <x:v>engineering_assumption</x:v>
      </x:c>
      <x:c r="AB12" s="52" t="str">
        <x:v>https://www.mercedesbenzstadium.com/stadium-maps</x:v>
      </x:c>
    </x:row>
    <x:row r="13">
      <x:c r="A13" s="52" t="str">
        <x:v>atlanta-parkride-TMP</x:v>
      </x:c>
      <x:c r="B13" s="52" t="n">
        <x:v>1</x:v>
      </x:c>
      <x:c r="C13" s="52" t="str">
        <x:v>atlanta</x:v>
      </x:c>
      <x:c r="D13" s="52" t="str">
        <x:v>Atlanta</x:v>
      </x:c>
      <x:c r="E13" s="52" t="str">
        <x:v>parkride</x:v>
      </x:c>
      <x:c r="F13" s="52" t="str">
        <x:v>Park-and-ride package</x:v>
      </x:c>
      <x:c r="G13" s="52" t="str">
        <x:v>temporary</x:v>
      </x:c>
      <x:c r="H13" s="52" t="str">
        <x:v>atl-sec-district</x:v>
      </x:c>
      <x:c r="I13" s="52" t="str">
        <x:v>ATL-SEC</x:v>
      </x:c>
      <x:c r="J13" s="52" t="str">
        <x:v>GWCC/CNN Center–Andrew Young International Boulevard approach</x:v>
      </x:c>
      <x:c r="K13" s="53" t="n">
        <x:v>33.7564</x:v>
      </x:c>
      <x:c r="L13" s="53" t="n">
        <x:v>-84.3986</x:v>
      </x:c>
      <x:c r="M13" s="56" t="n">
        <x:v>300</x:v>
      </x:c>
      <x:c r="N13" s="56" t="str">
        <x:v>polygon_extrusion</x:v>
      </x:c>
      <x:c r="O13" s="56" t="n">
        <x:v>220</x:v>
      </x:c>
      <x:c r="P13" s="56" t="n">
        <x:v>150</x:v>
      </x:c>
      <x:c r="Q13" s="56" t="n">
        <x:v>0.2</x:v>
      </x:c>
      <x:c r="R13" s="56" t="n">
        <x:v>97</x:v>
      </x:c>
      <x:c r="S13" s="56" t="n">
        <x:v>0.05</x:v>
      </x:c>
      <x:c r="T13" s="52" t="str">
        <x:v>#F59E0B</x:v>
      </x:c>
      <x:c r="U13" s="55" t="n">
        <x:v>0.55</x:v>
      </x:c>
      <x:c r="V13" s="58" t="n">
        <x:f>'Funding Categories'!L9</x:f>
        <x:v>0</x:v>
      </x:c>
      <x:c r="W13" s="52" t="str">
        <x:f>IF(V13&gt;0,"Yes","No")</x:f>
        <x:v>No</x:v>
      </x:c>
      <x:c r="X13" s="52" t="str">
        <x:v>leased intercept lots and temporary signing</x:v>
      </x:c>
      <x:c r="Y13" s="52" t="str">
        <x:v>concept_only</x:v>
      </x:c>
      <x:c r="Z13" s="52" t="str">
        <x:v>planning_anchor ±25–100 m</x:v>
      </x:c>
      <x:c r="AA13" s="52" t="str">
        <x:v>engineering_assumption</x:v>
      </x:c>
      <x:c r="AB13" s="52" t="str">
        <x:v>https://www.mercedesbenzstadium.com/stadium-maps</x:v>
      </x:c>
    </x:row>
    <x:row r="14">
      <x:c r="A14" s="52" t="str">
        <x:v>atlanta-parkride-PERM</x:v>
      </x:c>
      <x:c r="B14" s="52" t="n">
        <x:v>1</x:v>
      </x:c>
      <x:c r="C14" s="52" t="str">
        <x:v>atlanta</x:v>
      </x:c>
      <x:c r="D14" s="52" t="str">
        <x:v>Atlanta</x:v>
      </x:c>
      <x:c r="E14" s="52" t="str">
        <x:v>parkride</x:v>
      </x:c>
      <x:c r="F14" s="52" t="str">
        <x:v>Park-and-ride package</x:v>
      </x:c>
      <x:c r="G14" s="52" t="str">
        <x:v>permanent</x:v>
      </x:c>
      <x:c r="H14" s="52" t="str">
        <x:v>atl-sec-district</x:v>
      </x:c>
      <x:c r="I14" s="52" t="str">
        <x:v>ATL-SEC</x:v>
      </x:c>
      <x:c r="J14" s="52" t="str">
        <x:v>GWCC/CNN Center–Andrew Young International Boulevard approach</x:v>
      </x:c>
      <x:c r="K14" s="53" t="n">
        <x:v>33.7564</x:v>
      </x:c>
      <x:c r="L14" s="53" t="n">
        <x:v>-84.3986</x:v>
      </x:c>
      <x:c r="M14" s="56" t="n">
        <x:v>300</x:v>
      </x:c>
      <x:c r="N14" s="56" t="str">
        <x:v>polygon_extrusion</x:v>
      </x:c>
      <x:c r="O14" s="56" t="n">
        <x:v>220</x:v>
      </x:c>
      <x:c r="P14" s="56" t="n">
        <x:v>150</x:v>
      </x:c>
      <x:c r="Q14" s="56" t="n">
        <x:v>0.2</x:v>
      </x:c>
      <x:c r="R14" s="56" t="n">
        <x:v>104</x:v>
      </x:c>
      <x:c r="S14" s="56" t="n">
        <x:v>0.1</x:v>
      </x:c>
      <x:c r="T14" s="52" t="str">
        <x:v>#2563EB</x:v>
      </x:c>
      <x:c r="U14" s="55" t="n">
        <x:v>0.85</x:v>
      </x:c>
      <x:c r="V14" s="58" t="n">
        <x:f>'Funding Categories'!M9</x:f>
        <x:v>0</x:v>
      </x:c>
      <x:c r="W14" s="52" t="str">
        <x:f>IF(V14&gt;0,"Yes","No")</x:f>
        <x:v>No</x:v>
      </x:c>
      <x:c r="X14" s="52" t="str">
        <x:v>permanent park-and-ride with charging and transit access</x:v>
      </x:c>
      <x:c r="Y14" s="52" t="str">
        <x:v>concept_only</x:v>
      </x:c>
      <x:c r="Z14" s="52" t="str">
        <x:v>planning_anchor ±25–100 m</x:v>
      </x:c>
      <x:c r="AA14" s="52" t="str">
        <x:v>engineering_assumption</x:v>
      </x:c>
      <x:c r="AB14" s="52" t="str">
        <x:v>https://www.mercedesbenzstadium.com/stadium-maps</x:v>
      </x:c>
    </x:row>
    <x:row r="15">
      <x:c r="A15" s="52" t="str">
        <x:v>atlanta-ped-TMP</x:v>
      </x:c>
      <x:c r="B15" s="52" t="n">
        <x:v>1</x:v>
      </x:c>
      <x:c r="C15" s="52" t="str">
        <x:v>atlanta</x:v>
      </x:c>
      <x:c r="D15" s="52" t="str">
        <x:v>Atlanta</x:v>
      </x:c>
      <x:c r="E15" s="52" t="str">
        <x:v>ped</x:v>
      </x:c>
      <x:c r="F15" s="52" t="str">
        <x:v>Protected pedestrian corridor</x:v>
      </x:c>
      <x:c r="G15" s="52" t="str">
        <x:v>temporary</x:v>
      </x:c>
      <x:c r="H15" s="52" t="str">
        <x:v>atl-vine-city</x:v>
      </x:c>
      <x:c r="I15" s="52" t="str">
        <x:v>ATL-VC</x:v>
      </x:c>
      <x:c r="J15" s="52" t="str">
        <x:v>Vine City Station–Northside Drive approach</x:v>
      </x:c>
      <x:c r="K15" s="53" t="n">
        <x:v>33.7565</x:v>
      </x:c>
      <x:c r="L15" s="53" t="n">
        <x:v>-84.4038</x:v>
      </x:c>
      <x:c r="M15" s="56" t="n">
        <x:v>250</x:v>
      </x:c>
      <x:c r="N15" s="56" t="str">
        <x:v>line_extrusion</x:v>
      </x:c>
      <x:c r="O15" s="56" t="n">
        <x:v>1600</x:v>
      </x:c>
      <x:c r="P15" s="56" t="n">
        <x:v>6</x:v>
      </x:c>
      <x:c r="Q15" s="56" t="n">
        <x:v>0.15</x:v>
      </x:c>
      <x:c r="R15" s="56" t="n">
        <x:v>114</x:v>
      </x:c>
      <x:c r="S15" s="56" t="n">
        <x:v>0.05</x:v>
      </x:c>
      <x:c r="T15" s="52" t="str">
        <x:v>#F59E0B</x:v>
      </x:c>
      <x:c r="U15" s="55" t="n">
        <x:v>0.55</x:v>
      </x:c>
      <x:c r="V15" s="58" t="n">
        <x:f>'Funding Categories'!L10</x:f>
        <x:v>0</x:v>
      </x:c>
      <x:c r="W15" s="52" t="str">
        <x:f>IF(V15&gt;0,"Yes","No")</x:f>
        <x:v>No</x:v>
      </x:c>
      <x:c r="X15" s="52" t="str">
        <x:v>barricaded protected corridor; marshals and lighting</x:v>
      </x:c>
      <x:c r="Y15" s="52" t="str">
        <x:v>concept_only</x:v>
      </x:c>
      <x:c r="Z15" s="52" t="str">
        <x:v>planning_anchor ±25–100 m</x:v>
      </x:c>
      <x:c r="AA15" s="52" t="str">
        <x:v>engineering_assumption</x:v>
      </x:c>
      <x:c r="AB15" s="52" t="str">
        <x:v>https://www.itsmarta.com/Vine-City.aspx</x:v>
      </x:c>
    </x:row>
    <x:row r="16">
      <x:c r="A16" s="52" t="str">
        <x:v>atlanta-ped-PERM</x:v>
      </x:c>
      <x:c r="B16" s="52" t="n">
        <x:v>1</x:v>
      </x:c>
      <x:c r="C16" s="52" t="str">
        <x:v>atlanta</x:v>
      </x:c>
      <x:c r="D16" s="52" t="str">
        <x:v>Atlanta</x:v>
      </x:c>
      <x:c r="E16" s="52" t="str">
        <x:v>ped</x:v>
      </x:c>
      <x:c r="F16" s="52" t="str">
        <x:v>Protected pedestrian corridor</x:v>
      </x:c>
      <x:c r="G16" s="52" t="str">
        <x:v>permanent</x:v>
      </x:c>
      <x:c r="H16" s="52" t="str">
        <x:v>atl-vine-city</x:v>
      </x:c>
      <x:c r="I16" s="52" t="str">
        <x:v>ATL-VC</x:v>
      </x:c>
      <x:c r="J16" s="52" t="str">
        <x:v>Vine City Station–Northside Drive approach</x:v>
      </x:c>
      <x:c r="K16" s="53" t="n">
        <x:v>33.7565</x:v>
      </x:c>
      <x:c r="L16" s="53" t="n">
        <x:v>-84.4038</x:v>
      </x:c>
      <x:c r="M16" s="56" t="n">
        <x:v>250</x:v>
      </x:c>
      <x:c r="N16" s="56" t="str">
        <x:v>line_extrusion</x:v>
      </x:c>
      <x:c r="O16" s="56" t="n">
        <x:v>1600</x:v>
      </x:c>
      <x:c r="P16" s="56" t="n">
        <x:v>6</x:v>
      </x:c>
      <x:c r="Q16" s="56" t="n">
        <x:v>0.15</x:v>
      </x:c>
      <x:c r="R16" s="56" t="n">
        <x:v>121</x:v>
      </x:c>
      <x:c r="S16" s="56" t="n">
        <x:v>0.1</x:v>
      </x:c>
      <x:c r="T16" s="52" t="str">
        <x:v>#0F766E</x:v>
      </x:c>
      <x:c r="U16" s="55" t="n">
        <x:v>0.85</x:v>
      </x:c>
      <x:c r="V16" s="58" t="n">
        <x:f>'Funding Categories'!M10</x:f>
        <x:v>0</x:v>
      </x:c>
      <x:c r="W16" s="52" t="str">
        <x:f>IF(V16&gt;0,"Yes","No")</x:f>
        <x:v>No</x:v>
      </x:c>
      <x:c r="X16" s="52" t="str">
        <x:v>widened sidewalk; lighting; drainage and separation</x:v>
      </x:c>
      <x:c r="Y16" s="52" t="str">
        <x:v>concept_only</x:v>
      </x:c>
      <x:c r="Z16" s="52" t="str">
        <x:v>planning_anchor ±25–100 m</x:v>
      </x:c>
      <x:c r="AA16" s="52" t="str">
        <x:v>engineering_assumption</x:v>
      </x:c>
      <x:c r="AB16" s="52" t="str">
        <x:v>https://www.itsmarta.com/Vine-City.aspx</x:v>
      </x:c>
    </x:row>
    <x:row r="17">
      <x:c r="A17" s="52" t="str">
        <x:v>atlanta-bike-TMP</x:v>
      </x:c>
      <x:c r="B17" s="52" t="n">
        <x:v>1</x:v>
      </x:c>
      <x:c r="C17" s="52" t="str">
        <x:v>atlanta</x:v>
      </x:c>
      <x:c r="D17" s="52" t="str">
        <x:v>Atlanta</x:v>
      </x:c>
      <x:c r="E17" s="52" t="str">
        <x:v>bike</x:v>
      </x:c>
      <x:c r="F17" s="52" t="str">
        <x:v>Protected bicycle access</x:v>
      </x:c>
      <x:c r="G17" s="52" t="str">
        <x:v>temporary</x:v>
      </x:c>
      <x:c r="H17" s="52" t="str">
        <x:v>atl-vine-city</x:v>
      </x:c>
      <x:c r="I17" s="52" t="str">
        <x:v>ATL-VC</x:v>
      </x:c>
      <x:c r="J17" s="52" t="str">
        <x:v>Vine City Station–Northside Drive approach</x:v>
      </x:c>
      <x:c r="K17" s="53" t="n">
        <x:v>33.7565</x:v>
      </x:c>
      <x:c r="L17" s="53" t="n">
        <x:v>-84.4038</x:v>
      </x:c>
      <x:c r="M17" s="56" t="n">
        <x:v>250</x:v>
      </x:c>
      <x:c r="N17" s="56" t="str">
        <x:v>line_extrusion</x:v>
      </x:c>
      <x:c r="O17" s="56" t="n">
        <x:v>3200</x:v>
      </x:c>
      <x:c r="P17" s="56" t="n">
        <x:v>3</x:v>
      </x:c>
      <x:c r="Q17" s="56" t="n">
        <x:v>0.1</x:v>
      </x:c>
      <x:c r="R17" s="56" t="n">
        <x:v>131</x:v>
      </x:c>
      <x:c r="S17" s="56" t="n">
        <x:v>0.05</x:v>
      </x:c>
      <x:c r="T17" s="52" t="str">
        <x:v>#F59E0B</x:v>
      </x:c>
      <x:c r="U17" s="55" t="n">
        <x:v>0.55</x:v>
      </x:c>
      <x:c r="V17" s="58" t="n">
        <x:f>'Funding Categories'!L11</x:f>
        <x:v>0</x:v>
      </x:c>
      <x:c r="W17" s="52" t="str">
        <x:f>IF(V17&gt;0,"Yes","No")</x:f>
        <x:v>No</x:v>
      </x:c>
      <x:c r="X17" s="52" t="str">
        <x:v>pop-up protected lane and attended bike valet</x:v>
      </x:c>
      <x:c r="Y17" s="52" t="str">
        <x:v>concept_only</x:v>
      </x:c>
      <x:c r="Z17" s="52" t="str">
        <x:v>planning_anchor ±25–100 m</x:v>
      </x:c>
      <x:c r="AA17" s="52" t="str">
        <x:v>engineering_assumption</x:v>
      </x:c>
      <x:c r="AB17" s="52" t="str">
        <x:v>https://www.itsmarta.com/Vine-City.aspx</x:v>
      </x:c>
    </x:row>
    <x:row r="18">
      <x:c r="A18" s="52" t="str">
        <x:v>atlanta-bike-PERM</x:v>
      </x:c>
      <x:c r="B18" s="52" t="n">
        <x:v>1</x:v>
      </x:c>
      <x:c r="C18" s="52" t="str">
        <x:v>atlanta</x:v>
      </x:c>
      <x:c r="D18" s="52" t="str">
        <x:v>Atlanta</x:v>
      </x:c>
      <x:c r="E18" s="52" t="str">
        <x:v>bike</x:v>
      </x:c>
      <x:c r="F18" s="52" t="str">
        <x:v>Protected bicycle access</x:v>
      </x:c>
      <x:c r="G18" s="52" t="str">
        <x:v>permanent</x:v>
      </x:c>
      <x:c r="H18" s="52" t="str">
        <x:v>atl-vine-city</x:v>
      </x:c>
      <x:c r="I18" s="52" t="str">
        <x:v>ATL-VC</x:v>
      </x:c>
      <x:c r="J18" s="52" t="str">
        <x:v>Vine City Station–Northside Drive approach</x:v>
      </x:c>
      <x:c r="K18" s="53" t="n">
        <x:v>33.7565</x:v>
      </x:c>
      <x:c r="L18" s="53" t="n">
        <x:v>-84.4038</x:v>
      </x:c>
      <x:c r="M18" s="56" t="n">
        <x:v>250</x:v>
      </x:c>
      <x:c r="N18" s="56" t="str">
        <x:v>line_extrusion</x:v>
      </x:c>
      <x:c r="O18" s="56" t="n">
        <x:v>3200</x:v>
      </x:c>
      <x:c r="P18" s="56" t="n">
        <x:v>3</x:v>
      </x:c>
      <x:c r="Q18" s="56" t="n">
        <x:v>0.1</x:v>
      </x:c>
      <x:c r="R18" s="56" t="n">
        <x:v>138</x:v>
      </x:c>
      <x:c r="S18" s="56" t="n">
        <x:v>0.1</x:v>
      </x:c>
      <x:c r="T18" s="52" t="str">
        <x:v>#0F766E</x:v>
      </x:c>
      <x:c r="U18" s="55" t="n">
        <x:v>0.85</x:v>
      </x:c>
      <x:c r="V18" s="58" t="n">
        <x:f>'Funding Categories'!M11</x:f>
        <x:v>0</x:v>
      </x:c>
      <x:c r="W18" s="52" t="str">
        <x:f>IF(V18&gt;0,"Yes","No")</x:f>
        <x:v>No</x:v>
      </x:c>
      <x:c r="X18" s="52" t="str">
        <x:v>protected bikeway and secure long-term parking</x:v>
      </x:c>
      <x:c r="Y18" s="52" t="str">
        <x:v>concept_only</x:v>
      </x:c>
      <x:c r="Z18" s="52" t="str">
        <x:v>planning_anchor ±25–100 m</x:v>
      </x:c>
      <x:c r="AA18" s="52" t="str">
        <x:v>engineering_assumption</x:v>
      </x:c>
      <x:c r="AB18" s="52" t="str">
        <x:v>https://www.itsmarta.com/Vine-City.aspx</x:v>
      </x:c>
    </x:row>
    <x:row r="19">
      <x:c r="A19" s="52" t="str">
        <x:v>atlanta-tnc-TMP</x:v>
      </x:c>
      <x:c r="B19" s="52" t="n">
        <x:v>1</x:v>
      </x:c>
      <x:c r="C19" s="52" t="str">
        <x:v>atlanta</x:v>
      </x:c>
      <x:c r="D19" s="52" t="str">
        <x:v>Atlanta</x:v>
      </x:c>
      <x:c r="E19" s="52" t="str">
        <x:v>tnc</x:v>
      </x:c>
      <x:c r="F19" s="52" t="str">
        <x:v>Managed rideshare hub</x:v>
      </x:c>
      <x:c r="G19" s="52" t="str">
        <x:v>temporary</x:v>
      </x:c>
      <x:c r="H19" s="52" t="str">
        <x:v>atl-sec-district</x:v>
      </x:c>
      <x:c r="I19" s="52" t="str">
        <x:v>ATL-SEC</x:v>
      </x:c>
      <x:c r="J19" s="52" t="str">
        <x:v>GWCC/CNN Center–Andrew Young International Boulevard approach</x:v>
      </x:c>
      <x:c r="K19" s="53" t="n">
        <x:v>33.7564</x:v>
      </x:c>
      <x:c r="L19" s="53" t="n">
        <x:v>-84.3986</x:v>
      </x:c>
      <x:c r="M19" s="56" t="n">
        <x:v>300</x:v>
      </x:c>
      <x:c r="N19" s="56" t="str">
        <x:v>polygon_extrusion</x:v>
      </x:c>
      <x:c r="O19" s="56" t="n">
        <x:v>70</x:v>
      </x:c>
      <x:c r="P19" s="56" t="n">
        <x:v>45</x:v>
      </x:c>
      <x:c r="Q19" s="56" t="n">
        <x:v>0.2</x:v>
      </x:c>
      <x:c r="R19" s="56" t="n">
        <x:v>148</x:v>
      </x:c>
      <x:c r="S19" s="56" t="n">
        <x:v>0.05</x:v>
      </x:c>
      <x:c r="T19" s="52" t="str">
        <x:v>#F59E0B</x:v>
      </x:c>
      <x:c r="U19" s="55" t="n">
        <x:v>0.55</x:v>
      </x:c>
      <x:c r="V19" s="58" t="n">
        <x:f>'Funding Categories'!L12</x:f>
        <x:v>200000</x:v>
      </x:c>
      <x:c r="W19" s="52" t="str">
        <x:f>IF(V19&gt;0,"Yes","No")</x:f>
        <x:v>Yes</x:v>
      </x:c>
      <x:c r="X19" s="52" t="str">
        <x:v>staffed geofenced pickup with temporary lane control</x:v>
      </x:c>
      <x:c r="Y19" s="52" t="str">
        <x:v>concept_only</x:v>
      </x:c>
      <x:c r="Z19" s="52" t="str">
        <x:v>planning_anchor ±25–100 m</x:v>
      </x:c>
      <x:c r="AA19" s="52" t="str">
        <x:v>engineering_assumption</x:v>
      </x:c>
      <x:c r="AB19" s="52" t="str">
        <x:v>https://www.mercedesbenzstadium.com/stadium-maps</x:v>
      </x:c>
    </x:row>
    <x:row r="20">
      <x:c r="A20" s="52" t="str">
        <x:v>atlanta-tnc-PERM</x:v>
      </x:c>
      <x:c r="B20" s="52" t="n">
        <x:v>1</x:v>
      </x:c>
      <x:c r="C20" s="52" t="str">
        <x:v>atlanta</x:v>
      </x:c>
      <x:c r="D20" s="52" t="str">
        <x:v>Atlanta</x:v>
      </x:c>
      <x:c r="E20" s="52" t="str">
        <x:v>tnc</x:v>
      </x:c>
      <x:c r="F20" s="52" t="str">
        <x:v>Managed rideshare hub</x:v>
      </x:c>
      <x:c r="G20" s="52" t="str">
        <x:v>permanent</x:v>
      </x:c>
      <x:c r="H20" s="52" t="str">
        <x:v>atl-sec-district</x:v>
      </x:c>
      <x:c r="I20" s="52" t="str">
        <x:v>ATL-SEC</x:v>
      </x:c>
      <x:c r="J20" s="52" t="str">
        <x:v>GWCC/CNN Center–Andrew Young International Boulevard approach</x:v>
      </x:c>
      <x:c r="K20" s="53" t="n">
        <x:v>33.7564</x:v>
      </x:c>
      <x:c r="L20" s="53" t="n">
        <x:v>-84.3986</x:v>
      </x:c>
      <x:c r="M20" s="56" t="n">
        <x:v>300</x:v>
      </x:c>
      <x:c r="N20" s="56" t="str">
        <x:v>polygon_extrusion</x:v>
      </x:c>
      <x:c r="O20" s="56" t="n">
        <x:v>70</x:v>
      </x:c>
      <x:c r="P20" s="56" t="n">
        <x:v>45</x:v>
      </x:c>
      <x:c r="Q20" s="56" t="n">
        <x:v>0.2</x:v>
      </x:c>
      <x:c r="R20" s="56" t="n">
        <x:v>155</x:v>
      </x:c>
      <x:c r="S20" s="56" t="n">
        <x:v>0.1</x:v>
      </x:c>
      <x:c r="T20" s="52" t="str">
        <x:v>#2563EB</x:v>
      </x:c>
      <x:c r="U20" s="55" t="n">
        <x:v>0.85</x:v>
      </x:c>
      <x:c r="V20" s="58" t="n">
        <x:f>'Funding Categories'!M12</x:f>
        <x:v>200000</x:v>
      </x:c>
      <x:c r="W20" s="52" t="str">
        <x:f>IF(V20&gt;0,"Yes","No")</x:f>
        <x:v>Yes</x:v>
      </x:c>
      <x:c r="X20" s="52" t="str">
        <x:v>off-street rideshare hub with accessible bays</x:v>
      </x:c>
      <x:c r="Y20" s="52" t="str">
        <x:v>concept_only</x:v>
      </x:c>
      <x:c r="Z20" s="52" t="str">
        <x:v>planning_anchor ±25–100 m</x:v>
      </x:c>
      <x:c r="AA20" s="52" t="str">
        <x:v>engineering_assumption</x:v>
      </x:c>
      <x:c r="AB20" s="52" t="str">
        <x:v>https://www.mercedesbenzstadium.com/stadium-maps</x:v>
      </x:c>
    </x:row>
    <x:row r="21">
      <x:c r="A21" s="52" t="str">
        <x:v>atlanta-wayfinding-TMP</x:v>
      </x:c>
      <x:c r="B21" s="52" t="n">
        <x:v>1</x:v>
      </x:c>
      <x:c r="C21" s="52" t="str">
        <x:v>atlanta</x:v>
      </x:c>
      <x:c r="D21" s="52" t="str">
        <x:v>Atlanta</x:v>
      </x:c>
      <x:c r="E21" s="52" t="str">
        <x:v>wayfinding</x:v>
      </x:c>
      <x:c r="F21" s="52" t="str">
        <x:v>Multilingual wayfinding</x:v>
      </x:c>
      <x:c r="G21" s="52" t="str">
        <x:v>temporary</x:v>
      </x:c>
      <x:c r="H21" s="52" t="str">
        <x:v>atl-vine-city</x:v>
      </x:c>
      <x:c r="I21" s="52" t="str">
        <x:v>ATL-VC</x:v>
      </x:c>
      <x:c r="J21" s="52" t="str">
        <x:v>Vine City Station–Northside Drive approach</x:v>
      </x:c>
      <x:c r="K21" s="53" t="n">
        <x:v>33.7565</x:v>
      </x:c>
      <x:c r="L21" s="53" t="n">
        <x:v>-84.4038</x:v>
      </x:c>
      <x:c r="M21" s="56" t="n">
        <x:v>250</x:v>
      </x:c>
      <x:c r="N21" s="56" t="str">
        <x:v>point_model</x:v>
      </x:c>
      <x:c r="O21" s="56" t="n">
        <x:v>1</x:v>
      </x:c>
      <x:c r="P21" s="56" t="n">
        <x:v>1</x:v>
      </x:c>
      <x:c r="Q21" s="56" t="n">
        <x:v>2.5</x:v>
      </x:c>
      <x:c r="R21" s="56" t="n">
        <x:v>165</x:v>
      </x:c>
      <x:c r="S21" s="56" t="n">
        <x:v>0.05</x:v>
      </x:c>
      <x:c r="T21" s="52" t="str">
        <x:v>#F59E0B</x:v>
      </x:c>
      <x:c r="U21" s="55" t="n">
        <x:v>0.55</x:v>
      </x:c>
      <x:c r="V21" s="58" t="n">
        <x:f>'Funding Categories'!L13</x:f>
        <x:v>270000</x:v>
      </x:c>
      <x:c r="W21" s="52" t="str">
        <x:f>IF(V21&gt;0,"Yes","No")</x:f>
        <x:v>Yes</x:v>
      </x:c>
      <x:c r="X21" s="52" t="str">
        <x:v>portable signs; digital messages; multilingual ambassadors</x:v>
      </x:c>
      <x:c r="Y21" s="52" t="str">
        <x:v>concept_only</x:v>
      </x:c>
      <x:c r="Z21" s="52" t="str">
        <x:v>planning_anchor ±25–100 m</x:v>
      </x:c>
      <x:c r="AA21" s="52" t="str">
        <x:v>engineering_assumption</x:v>
      </x:c>
      <x:c r="AB21" s="52" t="str">
        <x:v>https://www.itsmarta.com/Vine-City.aspx</x:v>
      </x:c>
    </x:row>
    <x:row r="22">
      <x:c r="A22" s="52" t="str">
        <x:v>atlanta-wayfinding-PERM</x:v>
      </x:c>
      <x:c r="B22" s="52" t="n">
        <x:v>1</x:v>
      </x:c>
      <x:c r="C22" s="52" t="str">
        <x:v>atlanta</x:v>
      </x:c>
      <x:c r="D22" s="52" t="str">
        <x:v>Atlanta</x:v>
      </x:c>
      <x:c r="E22" s="52" t="str">
        <x:v>wayfinding</x:v>
      </x:c>
      <x:c r="F22" s="52" t="str">
        <x:v>Multilingual wayfinding</x:v>
      </x:c>
      <x:c r="G22" s="52" t="str">
        <x:v>permanent</x:v>
      </x:c>
      <x:c r="H22" s="52" t="str">
        <x:v>atl-vine-city</x:v>
      </x:c>
      <x:c r="I22" s="52" t="str">
        <x:v>ATL-VC</x:v>
      </x:c>
      <x:c r="J22" s="52" t="str">
        <x:v>Vine City Station–Northside Drive approach</x:v>
      </x:c>
      <x:c r="K22" s="53" t="n">
        <x:v>33.7565</x:v>
      </x:c>
      <x:c r="L22" s="53" t="n">
        <x:v>-84.4038</x:v>
      </x:c>
      <x:c r="M22" s="56" t="n">
        <x:v>250</x:v>
      </x:c>
      <x:c r="N22" s="56" t="str">
        <x:v>point_model</x:v>
      </x:c>
      <x:c r="O22" s="56" t="n">
        <x:v>1</x:v>
      </x:c>
      <x:c r="P22" s="56" t="n">
        <x:v>1</x:v>
      </x:c>
      <x:c r="Q22" s="56" t="n">
        <x:v>4</x:v>
      </x:c>
      <x:c r="R22" s="56" t="n">
        <x:v>172</x:v>
      </x:c>
      <x:c r="S22" s="56" t="n">
        <x:v>0.1</x:v>
      </x:c>
      <x:c r="T22" s="52" t="str">
        <x:v>#2563EB</x:v>
      </x:c>
      <x:c r="U22" s="55" t="n">
        <x:v>0.85</x:v>
      </x:c>
      <x:c r="V22" s="58" t="n">
        <x:f>'Funding Categories'!M13</x:f>
        <x:v>330000</x:v>
      </x:c>
      <x:c r="W22" s="52" t="str">
        <x:f>IF(V22&gt;0,"Yes","No")</x:f>
        <x:v>Yes</x:v>
      </x:c>
      <x:c r="X22" s="52" t="str">
        <x:v>fixed multilingual physical and digital wayfinding</x:v>
      </x:c>
      <x:c r="Y22" s="52" t="str">
        <x:v>concept_only</x:v>
      </x:c>
      <x:c r="Z22" s="52" t="str">
        <x:v>planning_anchor ±25–100 m</x:v>
      </x:c>
      <x:c r="AA22" s="52" t="str">
        <x:v>engineering_assumption</x:v>
      </x:c>
      <x:c r="AB22" s="52" t="str">
        <x:v>https://www.itsmarta.com/Vine-City.aspx</x:v>
      </x:c>
    </x:row>
    <x:row r="23">
      <x:c r="A23" s="52" t="str">
        <x:v>atlanta-station-TMP</x:v>
      </x:c>
      <x:c r="B23" s="52" t="n">
        <x:v>1</x:v>
      </x:c>
      <x:c r="C23" s="52" t="str">
        <x:v>atlanta</x:v>
      </x:c>
      <x:c r="D23" s="52" t="str">
        <x:v>Atlanta</x:v>
      </x:c>
      <x:c r="E23" s="52" t="str">
        <x:v>station</x:v>
      </x:c>
      <x:c r="F23" s="52" t="str">
        <x:v>Station-capacity package</x:v>
      </x:c>
      <x:c r="G23" s="52" t="str">
        <x:v>temporary</x:v>
      </x:c>
      <x:c r="H23" s="52" t="str">
        <x:v>atl-vine-city</x:v>
      </x:c>
      <x:c r="I23" s="52" t="str">
        <x:v>ATL-VC</x:v>
      </x:c>
      <x:c r="J23" s="52" t="str">
        <x:v>Vine City Station–Northside Drive approach</x:v>
      </x:c>
      <x:c r="K23" s="53" t="n">
        <x:v>33.7565</x:v>
      </x:c>
      <x:c r="L23" s="53" t="n">
        <x:v>-84.4038</x:v>
      </x:c>
      <x:c r="M23" s="56" t="n">
        <x:v>250</x:v>
      </x:c>
      <x:c r="N23" s="56" t="str">
        <x:v>glb_model</x:v>
      </x:c>
      <x:c r="O23" s="56" t="n">
        <x:v>120</x:v>
      </x:c>
      <x:c r="P23" s="56" t="n">
        <x:v>45</x:v>
      </x:c>
      <x:c r="Q23" s="56" t="n">
        <x:v>6</x:v>
      </x:c>
      <x:c r="R23" s="56" t="n">
        <x:v>182</x:v>
      </x:c>
      <x:c r="S23" s="56" t="n">
        <x:v>0.05</x:v>
      </x:c>
      <x:c r="T23" s="52" t="str">
        <x:v>#F59E0B</x:v>
      </x:c>
      <x:c r="U23" s="55" t="n">
        <x:v>0.55</x:v>
      </x:c>
      <x:c r="V23" s="58" t="n">
        <x:f>'Funding Categories'!L14</x:f>
        <x:v>500000</x:v>
      </x:c>
      <x:c r="W23" s="52" t="str">
        <x:f>IF(V23&gt;0,"Yes","No")</x:f>
        <x:v>Yes</x:v>
      </x:c>
      <x:c r="X23" s="52" t="str">
        <x:v>temporary gates; queue barriers; portable fare equipment</x:v>
      </x:c>
      <x:c r="Y23" s="52" t="str">
        <x:v>concept_only</x:v>
      </x:c>
      <x:c r="Z23" s="52" t="str">
        <x:v>planning_anchor ±25–100 m</x:v>
      </x:c>
      <x:c r="AA23" s="52" t="str">
        <x:v>engineering_assumption</x:v>
      </x:c>
      <x:c r="AB23" s="52" t="str">
        <x:v>https://www.itsmarta.com/Vine-City.aspx</x:v>
      </x:c>
    </x:row>
    <x:row r="24">
      <x:c r="A24" s="52" t="str">
        <x:v>atlanta-station-PERM</x:v>
      </x:c>
      <x:c r="B24" s="52" t="n">
        <x:v>1</x:v>
      </x:c>
      <x:c r="C24" s="52" t="str">
        <x:v>atlanta</x:v>
      </x:c>
      <x:c r="D24" s="52" t="str">
        <x:v>Atlanta</x:v>
      </x:c>
      <x:c r="E24" s="52" t="str">
        <x:v>station</x:v>
      </x:c>
      <x:c r="F24" s="52" t="str">
        <x:v>Station-capacity package</x:v>
      </x:c>
      <x:c r="G24" s="52" t="str">
        <x:v>permanent</x:v>
      </x:c>
      <x:c r="H24" s="52" t="str">
        <x:v>atl-vine-city</x:v>
      </x:c>
      <x:c r="I24" s="52" t="str">
        <x:v>ATL-VC</x:v>
      </x:c>
      <x:c r="J24" s="52" t="str">
        <x:v>Vine City Station–Northside Drive approach</x:v>
      </x:c>
      <x:c r="K24" s="53" t="n">
        <x:v>33.7565</x:v>
      </x:c>
      <x:c r="L24" s="53" t="n">
        <x:v>-84.4038</x:v>
      </x:c>
      <x:c r="M24" s="56" t="n">
        <x:v>250</x:v>
      </x:c>
      <x:c r="N24" s="56" t="str">
        <x:v>glb_model</x:v>
      </x:c>
      <x:c r="O24" s="56" t="n">
        <x:v>120</x:v>
      </x:c>
      <x:c r="P24" s="56" t="n">
        <x:v>45</x:v>
      </x:c>
      <x:c r="Q24" s="56" t="n">
        <x:v>18</x:v>
      </x:c>
      <x:c r="R24" s="56" t="n">
        <x:v>189</x:v>
      </x:c>
      <x:c r="S24" s="56" t="n">
        <x:v>0.1</x:v>
      </x:c>
      <x:c r="T24" s="52" t="str">
        <x:v>#2563EB</x:v>
      </x:c>
      <x:c r="U24" s="55" t="n">
        <x:v>0.85</x:v>
      </x:c>
      <x:c r="V24" s="58" t="n">
        <x:f>'Funding Categories'!M14</x:f>
        <x:v>2000000</x:v>
      </x:c>
      <x:c r="W24" s="52" t="str">
        <x:f>IF(V24&gt;0,"Yes","No")</x:f>
        <x:v>Yes</x:v>
      </x:c>
      <x:c r="X24" s="52" t="str">
        <x:v>platform, entry and circulation expansion</x:v>
      </x:c>
      <x:c r="Y24" s="52" t="str">
        <x:v>concept_only</x:v>
      </x:c>
      <x:c r="Z24" s="52" t="str">
        <x:v>planning_anchor ±25–100 m</x:v>
      </x:c>
      <x:c r="AA24" s="52" t="str">
        <x:v>engineering_assumption</x:v>
      </x:c>
      <x:c r="AB24" s="52" t="str">
        <x:v>https://www.itsmarta.com/Vine-City.aspx</x:v>
      </x:c>
    </x:row>
    <x:row r="25">
      <x:c r="A25" s="52" t="str">
        <x:v>atlanta-toc-TMP</x:v>
      </x:c>
      <x:c r="B25" s="52" t="n">
        <x:v>1</x:v>
      </x:c>
      <x:c r="C25" s="52" t="str">
        <x:v>atlanta</x:v>
      </x:c>
      <x:c r="D25" s="52" t="str">
        <x:v>Atlanta</x:v>
      </x:c>
      <x:c r="E25" s="52" t="str">
        <x:v>toc</x:v>
      </x:c>
      <x:c r="F25" s="52" t="str">
        <x:v>Integrated traffic operations</x:v>
      </x:c>
      <x:c r="G25" s="52" t="str">
        <x:v>temporary</x:v>
      </x:c>
      <x:c r="H25" s="52" t="str">
        <x:v>atl-sec-district</x:v>
      </x:c>
      <x:c r="I25" s="52" t="str">
        <x:v>ATL-SEC</x:v>
      </x:c>
      <x:c r="J25" s="52" t="str">
        <x:v>GWCC/CNN Center–Andrew Young International Boulevard approach</x:v>
      </x:c>
      <x:c r="K25" s="53" t="n">
        <x:v>33.7564</x:v>
      </x:c>
      <x:c r="L25" s="53" t="n">
        <x:v>-84.3986</x:v>
      </x:c>
      <x:c r="M25" s="56" t="n">
        <x:v>300</x:v>
      </x:c>
      <x:c r="N25" s="56" t="str">
        <x:v>glb_model</x:v>
      </x:c>
      <x:c r="O25" s="56" t="n">
        <x:v>60</x:v>
      </x:c>
      <x:c r="P25" s="56" t="n">
        <x:v>40</x:v>
      </x:c>
      <x:c r="Q25" s="56" t="n">
        <x:v>4</x:v>
      </x:c>
      <x:c r="R25" s="56" t="n">
        <x:v>199</x:v>
      </x:c>
      <x:c r="S25" s="56" t="n">
        <x:v>0.05</x:v>
      </x:c>
      <x:c r="T25" s="52" t="str">
        <x:v>#F59E0B</x:v>
      </x:c>
      <x:c r="U25" s="55" t="n">
        <x:v>0.55</x:v>
      </x:c>
      <x:c r="V25" s="58" t="n">
        <x:f>'Funding Categories'!L15</x:f>
        <x:v>375000</x:v>
      </x:c>
      <x:c r="W25" s="52" t="str">
        <x:f>IF(V25&gt;0,"Yes","No")</x:f>
        <x:v>Yes</x:v>
      </x:c>
      <x:c r="X25" s="52" t="str">
        <x:v>unified incident command and temporary sensor feeds</x:v>
      </x:c>
      <x:c r="Y25" s="52" t="str">
        <x:v>concept_only</x:v>
      </x:c>
      <x:c r="Z25" s="52" t="str">
        <x:v>planning_anchor ±25–100 m</x:v>
      </x:c>
      <x:c r="AA25" s="52" t="str">
        <x:v>engineering_assumption</x:v>
      </x:c>
      <x:c r="AB25" s="52" t="str">
        <x:v>https://www.mercedesbenzstadium.com/stadium-maps</x:v>
      </x:c>
    </x:row>
    <x:row r="26">
      <x:c r="A26" s="52" t="str">
        <x:v>atlanta-toc-PERM</x:v>
      </x:c>
      <x:c r="B26" s="52" t="n">
        <x:v>1</x:v>
      </x:c>
      <x:c r="C26" s="52" t="str">
        <x:v>atlanta</x:v>
      </x:c>
      <x:c r="D26" s="52" t="str">
        <x:v>Atlanta</x:v>
      </x:c>
      <x:c r="E26" s="52" t="str">
        <x:v>toc</x:v>
      </x:c>
      <x:c r="F26" s="52" t="str">
        <x:v>Integrated traffic operations</x:v>
      </x:c>
      <x:c r="G26" s="52" t="str">
        <x:v>permanent</x:v>
      </x:c>
      <x:c r="H26" s="52" t="str">
        <x:v>atl-sec-district</x:v>
      </x:c>
      <x:c r="I26" s="52" t="str">
        <x:v>ATL-SEC</x:v>
      </x:c>
      <x:c r="J26" s="52" t="str">
        <x:v>GWCC/CNN Center–Andrew Young International Boulevard approach</x:v>
      </x:c>
      <x:c r="K26" s="53" t="n">
        <x:v>33.7564</x:v>
      </x:c>
      <x:c r="L26" s="53" t="n">
        <x:v>-84.3986</x:v>
      </x:c>
      <x:c r="M26" s="56" t="n">
        <x:v>300</x:v>
      </x:c>
      <x:c r="N26" s="56" t="str">
        <x:v>glb_model</x:v>
      </x:c>
      <x:c r="O26" s="56" t="n">
        <x:v>60</x:v>
      </x:c>
      <x:c r="P26" s="56" t="n">
        <x:v>40</x:v>
      </x:c>
      <x:c r="Q26" s="56" t="n">
        <x:v>12</x:v>
      </x:c>
      <x:c r="R26" s="56" t="n">
        <x:v>206</x:v>
      </x:c>
      <x:c r="S26" s="56" t="n">
        <x:v>0.1</x:v>
      </x:c>
      <x:c r="T26" s="52" t="str">
        <x:v>#2563EB</x:v>
      </x:c>
      <x:c r="U26" s="55" t="n">
        <x:v>0.85</x:v>
      </x:c>
      <x:c r="V26" s="58" t="n">
        <x:f>'Funding Categories'!M15</x:f>
        <x:v>1125000</x:v>
      </x:c>
      <x:c r="W26" s="52" t="str">
        <x:f>IF(V26&gt;0,"Yes","No")</x:f>
        <x:v>Yes</x:v>
      </x:c>
      <x:c r="X26" s="52" t="str">
        <x:v>integrated operations center and adaptive dispatch</x:v>
      </x:c>
      <x:c r="Y26" s="52" t="str">
        <x:v>concept_only</x:v>
      </x:c>
      <x:c r="Z26" s="52" t="str">
        <x:v>planning_anchor ±25–100 m</x:v>
      </x:c>
      <x:c r="AA26" s="52" t="str">
        <x:v>engineering_assumption</x:v>
      </x:c>
      <x:c r="AB26" s="52" t="str">
        <x:v>https://www.mercedesbenzstadium.com/stadium-maps</x:v>
      </x:c>
    </x:row>
    <x:row r="27">
      <x:c r="A27" s="52" t="str">
        <x:v>atlanta-access-TMP</x:v>
      </x:c>
      <x:c r="B27" s="52" t="n">
        <x:v>1</x:v>
      </x:c>
      <x:c r="C27" s="52" t="str">
        <x:v>atlanta</x:v>
      </x:c>
      <x:c r="D27" s="52" t="str">
        <x:v>Atlanta</x:v>
      </x:c>
      <x:c r="E27" s="52" t="str">
        <x:v>access</x:v>
      </x:c>
      <x:c r="F27" s="52" t="str">
        <x:v>ADA/microtransit access</x:v>
      </x:c>
      <x:c r="G27" s="52" t="str">
        <x:v>temporary</x:v>
      </x:c>
      <x:c r="H27" s="52" t="str">
        <x:v>atl-vine-city</x:v>
      </x:c>
      <x:c r="I27" s="52" t="str">
        <x:v>ATL-VC</x:v>
      </x:c>
      <x:c r="J27" s="52" t="str">
        <x:v>Vine City Station–Northside Drive approach</x:v>
      </x:c>
      <x:c r="K27" s="53" t="n">
        <x:v>33.7565</x:v>
      </x:c>
      <x:c r="L27" s="53" t="n">
        <x:v>-84.4038</x:v>
      </x:c>
      <x:c r="M27" s="56" t="n">
        <x:v>250</x:v>
      </x:c>
      <x:c r="N27" s="56" t="str">
        <x:v>line_extrusion</x:v>
      </x:c>
      <x:c r="O27" s="56" t="n">
        <x:v>800</x:v>
      </x:c>
      <x:c r="P27" s="56" t="n">
        <x:v>3</x:v>
      </x:c>
      <x:c r="Q27" s="56" t="n">
        <x:v>0.1</x:v>
      </x:c>
      <x:c r="R27" s="56" t="n">
        <x:v>216</x:v>
      </x:c>
      <x:c r="S27" s="56" t="n">
        <x:v>0.05</x:v>
      </x:c>
      <x:c r="T27" s="52" t="str">
        <x:v>#F59E0B</x:v>
      </x:c>
      <x:c r="U27" s="55" t="n">
        <x:v>0.55</x:v>
      </x:c>
      <x:c r="V27" s="58" t="n">
        <x:f>'Funding Categories'!L16</x:f>
        <x:v>0</x:v>
      </x:c>
      <x:c r="W27" s="52" t="str">
        <x:f>IF(V27&gt;0,"Yes","No")</x:f>
        <x:v>No</x:v>
      </x:c>
      <x:c r="X27" s="52" t="str">
        <x:v>accessible shuttles; temporary ramps and staffed assistance</x:v>
      </x:c>
      <x:c r="Y27" s="52" t="str">
        <x:v>concept_only</x:v>
      </x:c>
      <x:c r="Z27" s="52" t="str">
        <x:v>planning_anchor ±25–100 m</x:v>
      </x:c>
      <x:c r="AA27" s="52" t="str">
        <x:v>engineering_assumption</x:v>
      </x:c>
      <x:c r="AB27" s="52" t="str">
        <x:v>https://www.itsmarta.com/Vine-City.aspx</x:v>
      </x:c>
    </x:row>
    <x:row r="28">
      <x:c r="A28" s="52" t="str">
        <x:v>atlanta-access-PERM</x:v>
      </x:c>
      <x:c r="B28" s="52" t="n">
        <x:v>1</x:v>
      </x:c>
      <x:c r="C28" s="52" t="str">
        <x:v>atlanta</x:v>
      </x:c>
      <x:c r="D28" s="52" t="str">
        <x:v>Atlanta</x:v>
      </x:c>
      <x:c r="E28" s="52" t="str">
        <x:v>access</x:v>
      </x:c>
      <x:c r="F28" s="52" t="str">
        <x:v>ADA/microtransit access</x:v>
      </x:c>
      <x:c r="G28" s="52" t="str">
        <x:v>permanent</x:v>
      </x:c>
      <x:c r="H28" s="52" t="str">
        <x:v>atl-vine-city</x:v>
      </x:c>
      <x:c r="I28" s="52" t="str">
        <x:v>ATL-VC</x:v>
      </x:c>
      <x:c r="J28" s="52" t="str">
        <x:v>Vine City Station–Northside Drive approach</x:v>
      </x:c>
      <x:c r="K28" s="53" t="n">
        <x:v>33.7565</x:v>
      </x:c>
      <x:c r="L28" s="53" t="n">
        <x:v>-84.4038</x:v>
      </x:c>
      <x:c r="M28" s="56" t="n">
        <x:v>250</x:v>
      </x:c>
      <x:c r="N28" s="56" t="str">
        <x:v>line_extrusion</x:v>
      </x:c>
      <x:c r="O28" s="56" t="n">
        <x:v>800</x:v>
      </x:c>
      <x:c r="P28" s="56" t="n">
        <x:v>3</x:v>
      </x:c>
      <x:c r="Q28" s="56" t="n">
        <x:v>0.1</x:v>
      </x:c>
      <x:c r="R28" s="56" t="n">
        <x:v>223</x:v>
      </x:c>
      <x:c r="S28" s="56" t="n">
        <x:v>0.1</x:v>
      </x:c>
      <x:c r="T28" s="52" t="str">
        <x:v>#2563EB</x:v>
      </x:c>
      <x:c r="U28" s="55" t="n">
        <x:v>0.85</x:v>
      </x:c>
      <x:c r="V28" s="58" t="n">
        <x:f>'Funding Categories'!M16</x:f>
        <x:v>0</x:v>
      </x:c>
      <x:c r="W28" s="52" t="str">
        <x:f>IF(V28&gt;0,"Yes","No")</x:f>
        <x:v>No</x:v>
      </x:c>
      <x:c r="X28" s="52" t="str">
        <x:v>ADA ramps; tactile guidance; accessible first/last-mile network</x:v>
      </x:c>
      <x:c r="Y28" s="52" t="str">
        <x:v>concept_only</x:v>
      </x:c>
      <x:c r="Z28" s="52" t="str">
        <x:v>planning_anchor ±25–100 m</x:v>
      </x:c>
      <x:c r="AA28" s="52" t="str">
        <x:v>engineering_assumption</x:v>
      </x:c>
      <x:c r="AB28" s="52" t="str">
        <x:v>https://www.itsmarta.com/Vine-City.aspx</x:v>
      </x:c>
    </x:row>
    <x:row r="29">
      <x:c r="A29" s="52" t="str">
        <x:v>boston-service-TMP</x:v>
      </x:c>
      <x:c r="B29" s="52" t="n">
        <x:v>2</x:v>
      </x:c>
      <x:c r="C29" s="52" t="str">
        <x:v>boston</x:v>
      </x:c>
      <x:c r="D29" s="52" t="str">
        <x:v>Boston</x:v>
      </x:c>
      <x:c r="E29" s="52" t="str">
        <x:v>service</x:v>
      </x:c>
      <x:c r="F29" s="52" t="str">
        <x:v>Extra transit service</x:v>
      </x:c>
      <x:c r="G29" s="52" t="str">
        <x:v>temporary</x:v>
      </x:c>
      <x:c r="H29" s="52" t="str">
        <x:v>bos-foxboro-station</x:v>
      </x:c>
      <x:c r="I29" s="52" t="str">
        <x:v>BOS-FXR</x:v>
      </x:c>
      <x:c r="J29" s="52" t="str">
        <x:v>Foxboro Station platform and stadium underpass</x:v>
      </x:c>
      <x:c r="K29" s="53" t="n">
        <x:v>42.0889</x:v>
      </x:c>
      <x:c r="L29" s="53" t="n">
        <x:v>-71.2597</x:v>
      </x:c>
      <x:c r="M29" s="56" t="n">
        <x:v>250</x:v>
      </x:c>
      <x:c r="N29" s="56" t="str">
        <x:v>animated_route</x:v>
      </x:c>
      <x:c r="O29" s="56" t="n">
        <x:v>1500</x:v>
      </x:c>
      <x:c r="P29" s="56" t="n">
        <x:v>2</x:v>
      </x:c>
      <x:c r="Q29" s="56" t="n">
        <x:v>0.5</x:v>
      </x:c>
      <x:c r="R29" s="56" t="n">
        <x:v>58</x:v>
      </x:c>
      <x:c r="S29" s="56" t="n">
        <x:v>0.05</x:v>
      </x:c>
      <x:c r="T29" s="52" t="str">
        <x:v>#F59E0B</x:v>
      </x:c>
      <x:c r="U29" s="55" t="n">
        <x:v>0.55</x:v>
      </x:c>
      <x:c r="V29" s="58" t="n">
        <x:f>'Funding Categories'!L18</x:f>
        <x:v>1320000</x:v>
      </x:c>
      <x:c r="W29" s="52" t="str">
        <x:f>IF(V29&gt;0,"Yes","No")</x:f>
        <x:v>Yes</x:v>
      </x:c>
      <x:c r="X29" s="52" t="str">
        <x:v>extra rail/bus vehicle-hours; standby operators; event timetable</x:v>
      </x:c>
      <x:c r="Y29" s="52" t="str">
        <x:v>concept_only</x:v>
      </x:c>
      <x:c r="Z29" s="52" t="str">
        <x:v>planning_anchor ±25–100 m</x:v>
      </x:c>
      <x:c r="AA29" s="52" t="str">
        <x:v>engineering_assumption</x:v>
      </x:c>
      <x:c r="AB29" s="52" t="str">
        <x:v>https://www.mbta.com/stops/place-FB-0191</x:v>
      </x:c>
    </x:row>
    <x:row r="30">
      <x:c r="A30" s="52" t="str">
        <x:v>boston-service-PERM</x:v>
      </x:c>
      <x:c r="B30" s="52" t="n">
        <x:v>2</x:v>
      </x:c>
      <x:c r="C30" s="52" t="str">
        <x:v>boston</x:v>
      </x:c>
      <x:c r="D30" s="52" t="str">
        <x:v>Boston</x:v>
      </x:c>
      <x:c r="E30" s="52" t="str">
        <x:v>service</x:v>
      </x:c>
      <x:c r="F30" s="52" t="str">
        <x:v>Extra transit service</x:v>
      </x:c>
      <x:c r="G30" s="52" t="str">
        <x:v>permanent</x:v>
      </x:c>
      <x:c r="H30" s="52" t="str">
        <x:v>bos-foxboro-station</x:v>
      </x:c>
      <x:c r="I30" s="52" t="str">
        <x:v>BOS-FXR</x:v>
      </x:c>
      <x:c r="J30" s="52" t="str">
        <x:v>Foxboro Station platform and stadium underpass</x:v>
      </x:c>
      <x:c r="K30" s="53" t="n">
        <x:v>42.0889</x:v>
      </x:c>
      <x:c r="L30" s="53" t="n">
        <x:v>-71.2597</x:v>
      </x:c>
      <x:c r="M30" s="56" t="n">
        <x:v>250</x:v>
      </x:c>
      <x:c r="N30" s="56" t="str">
        <x:v>animated_route</x:v>
      </x:c>
      <x:c r="O30" s="56" t="n">
        <x:v>1500</x:v>
      </x:c>
      <x:c r="P30" s="56" t="n">
        <x:v>2</x:v>
      </x:c>
      <x:c r="Q30" s="56" t="n">
        <x:v>1</x:v>
      </x:c>
      <x:c r="R30" s="56" t="n">
        <x:v>65</x:v>
      </x:c>
      <x:c r="S30" s="56" t="n">
        <x:v>0.1</x:v>
      </x:c>
      <x:c r="T30" s="52" t="str">
        <x:v>#2563EB</x:v>
      </x:c>
      <x:c r="U30" s="55" t="n">
        <x:v>0.85</x:v>
      </x:c>
      <x:c r="V30" s="58" t="n">
        <x:f>'Funding Categories'!M18</x:f>
        <x:v>330000</x:v>
      </x:c>
      <x:c r="W30" s="52" t="str">
        <x:f>IF(V30&gt;0,"Yes","No")</x:f>
        <x:v>Yes</x:v>
      </x:c>
      <x:c r="X30" s="52" t="str">
        <x:v>recurring major-event service plan; fleet and stabling readiness</x:v>
      </x:c>
      <x:c r="Y30" s="52" t="str">
        <x:v>concept_only</x:v>
      </x:c>
      <x:c r="Z30" s="52" t="str">
        <x:v>planning_anchor ±25–100 m</x:v>
      </x:c>
      <x:c r="AA30" s="52" t="str">
        <x:v>engineering_assumption</x:v>
      </x:c>
      <x:c r="AB30" s="52" t="str">
        <x:v>https://www.mbta.com/stops/place-FB-0191</x:v>
      </x:c>
    </x:row>
    <x:row r="31">
      <x:c r="A31" s="52" t="str">
        <x:v>boston-buslane-TMP</x:v>
      </x:c>
      <x:c r="B31" s="52" t="n">
        <x:v>2</x:v>
      </x:c>
      <x:c r="C31" s="52" t="str">
        <x:v>boston</x:v>
      </x:c>
      <x:c r="D31" s="52" t="str">
        <x:v>Boston</x:v>
      </x:c>
      <x:c r="E31" s="52" t="str">
        <x:v>buslane</x:v>
      </x:c>
      <x:c r="F31" s="52" t="str">
        <x:v>Transit-priority lanes</x:v>
      </x:c>
      <x:c r="G31" s="52" t="str">
        <x:v>temporary</x:v>
      </x:c>
      <x:c r="H31" s="52" t="str">
        <x:v>bos-patriot-place-gate-a</x:v>
      </x:c>
      <x:c r="I31" s="52" t="str">
        <x:v>BOS-GA</x:v>
      </x:c>
      <x:c r="J31" s="52" t="str">
        <x:v>Patriot Place north plaza and Gate A</x:v>
      </x:c>
      <x:c r="K31" s="53" t="n">
        <x:v>42.0916</x:v>
      </x:c>
      <x:c r="L31" s="53" t="n">
        <x:v>-71.2648</x:v>
      </x:c>
      <x:c r="M31" s="56" t="n">
        <x:v>300</x:v>
      </x:c>
      <x:c r="N31" s="56" t="str">
        <x:v>line_extrusion</x:v>
      </x:c>
      <x:c r="O31" s="56" t="n">
        <x:v>3200</x:v>
      </x:c>
      <x:c r="P31" s="56" t="n">
        <x:v>3.5</x:v>
      </x:c>
      <x:c r="Q31" s="56" t="n">
        <x:v>0.1</x:v>
      </x:c>
      <x:c r="R31" s="56" t="n">
        <x:v>75</x:v>
      </x:c>
      <x:c r="S31" s="56" t="n">
        <x:v>0.05</x:v>
      </x:c>
      <x:c r="T31" s="52" t="str">
        <x:v>#F59E0B</x:v>
      </x:c>
      <x:c r="U31" s="55" t="n">
        <x:v>0.55</x:v>
      </x:c>
      <x:c r="V31" s="58" t="n">
        <x:f>'Funding Categories'!L19</x:f>
        <x:v>648000</x:v>
      </x:c>
      <x:c r="W31" s="52" t="str">
        <x:f>IF(V31&gt;0,"Yes","No")</x:f>
        <x:v>Yes</x:v>
      </x:c>
      <x:c r="X31" s="52" t="str">
        <x:v>cone- and paint-defined bus lane with enforcement</x:v>
      </x:c>
      <x:c r="Y31" s="52" t="str">
        <x:v>concept_only</x:v>
      </x:c>
      <x:c r="Z31" s="52" t="str">
        <x:v>planning_anchor ±25–100 m</x:v>
      </x:c>
      <x:c r="AA31" s="52" t="str">
        <x:v>engineering_assumption</x:v>
      </x:c>
      <x:c r="AB31" s="52" t="str">
        <x:v>https://www.gillettestadium.com/</x:v>
      </x:c>
    </x:row>
    <x:row r="32">
      <x:c r="A32" s="52" t="str">
        <x:v>boston-buslane-PERM</x:v>
      </x:c>
      <x:c r="B32" s="52" t="n">
        <x:v>2</x:v>
      </x:c>
      <x:c r="C32" s="52" t="str">
        <x:v>boston</x:v>
      </x:c>
      <x:c r="D32" s="52" t="str">
        <x:v>Boston</x:v>
      </x:c>
      <x:c r="E32" s="52" t="str">
        <x:v>buslane</x:v>
      </x:c>
      <x:c r="F32" s="52" t="str">
        <x:v>Transit-priority lanes</x:v>
      </x:c>
      <x:c r="G32" s="52" t="str">
        <x:v>permanent</x:v>
      </x:c>
      <x:c r="H32" s="52" t="str">
        <x:v>bos-patriot-place-gate-a</x:v>
      </x:c>
      <x:c r="I32" s="52" t="str">
        <x:v>BOS-GA</x:v>
      </x:c>
      <x:c r="J32" s="52" t="str">
        <x:v>Patriot Place north plaza and Gate A</x:v>
      </x:c>
      <x:c r="K32" s="53" t="n">
        <x:v>42.0916</x:v>
      </x:c>
      <x:c r="L32" s="53" t="n">
        <x:v>-71.2648</x:v>
      </x:c>
      <x:c r="M32" s="56" t="n">
        <x:v>300</x:v>
      </x:c>
      <x:c r="N32" s="56" t="str">
        <x:v>line_extrusion</x:v>
      </x:c>
      <x:c r="O32" s="56" t="n">
        <x:v>3200</x:v>
      </x:c>
      <x:c r="P32" s="56" t="n">
        <x:v>3.5</x:v>
      </x:c>
      <x:c r="Q32" s="56" t="n">
        <x:v>0.1</x:v>
      </x:c>
      <x:c r="R32" s="56" t="n">
        <x:v>82</x:v>
      </x:c>
      <x:c r="S32" s="56" t="n">
        <x:v>0.1</x:v>
      </x:c>
      <x:c r="T32" s="52" t="str">
        <x:v>#2563EB</x:v>
      </x:c>
      <x:c r="U32" s="55" t="n">
        <x:v>0.85</x:v>
      </x:c>
      <x:c r="V32" s="58" t="n">
        <x:f>'Funding Categories'!M19</x:f>
        <x:v>792000</x:v>
      </x:c>
      <x:c r="W32" s="52" t="str">
        <x:f>IF(V32&gt;0,"Yes","No")</x:f>
        <x:v>Yes</x:v>
      </x:c>
      <x:c r="X32" s="52" t="str">
        <x:v>dedicated or peak-period transit-priority lane</x:v>
      </x:c>
      <x:c r="Y32" s="52" t="str">
        <x:v>concept_only</x:v>
      </x:c>
      <x:c r="Z32" s="52" t="str">
        <x:v>planning_anchor ±25–100 m</x:v>
      </x:c>
      <x:c r="AA32" s="52" t="str">
        <x:v>engineering_assumption</x:v>
      </x:c>
      <x:c r="AB32" s="52" t="str">
        <x:v>https://www.gillettestadium.com/</x:v>
      </x:c>
    </x:row>
    <x:row r="33">
      <x:c r="A33" s="52" t="str">
        <x:v>boston-signals-TMP</x:v>
      </x:c>
      <x:c r="B33" s="52" t="n">
        <x:v>2</x:v>
      </x:c>
      <x:c r="C33" s="52" t="str">
        <x:v>boston</x:v>
      </x:c>
      <x:c r="D33" s="52" t="str">
        <x:v>Boston</x:v>
      </x:c>
      <x:c r="E33" s="52" t="str">
        <x:v>signals</x:v>
      </x:c>
      <x:c r="F33" s="52" t="str">
        <x:v>Signal timing plans</x:v>
      </x:c>
      <x:c r="G33" s="52" t="str">
        <x:v>temporary</x:v>
      </x:c>
      <x:c r="H33" s="52" t="str">
        <x:v>bos-patriot-place-gate-a</x:v>
      </x:c>
      <x:c r="I33" s="52" t="str">
        <x:v>BOS-GA</x:v>
      </x:c>
      <x:c r="J33" s="52" t="str">
        <x:v>Patriot Place north plaza and Gate A</x:v>
      </x:c>
      <x:c r="K33" s="53" t="n">
        <x:v>42.0916</x:v>
      </x:c>
      <x:c r="L33" s="53" t="n">
        <x:v>-71.2648</x:v>
      </x:c>
      <x:c r="M33" s="56" t="n">
        <x:v>300</x:v>
      </x:c>
      <x:c r="N33" s="56" t="str">
        <x:v>point_model</x:v>
      </x:c>
      <x:c r="O33" s="56" t="n">
        <x:v>1</x:v>
      </x:c>
      <x:c r="P33" s="56" t="n">
        <x:v>1</x:v>
      </x:c>
      <x:c r="Q33" s="56" t="n">
        <x:v>3</x:v>
      </x:c>
      <x:c r="R33" s="56" t="n">
        <x:v>92</x:v>
      </x:c>
      <x:c r="S33" s="56" t="n">
        <x:v>0.05</x:v>
      </x:c>
      <x:c r="T33" s="52" t="str">
        <x:v>#F59E0B</x:v>
      </x:c>
      <x:c r="U33" s="55" t="n">
        <x:v>0.55</x:v>
      </x:c>
      <x:c r="V33" s="58" t="n">
        <x:f>'Funding Categories'!L20</x:f>
        <x:v>67500</x:v>
      </x:c>
      <x:c r="W33" s="52" t="str">
        <x:f>IF(V33&gt;0,"Yes","No")</x:f>
        <x:v>Yes</x:v>
      </x:c>
      <x:c r="X33" s="52" t="str">
        <x:v>police/manual traffic control and temporary timing plan</x:v>
      </x:c>
      <x:c r="Y33" s="52" t="str">
        <x:v>concept_only</x:v>
      </x:c>
      <x:c r="Z33" s="52" t="str">
        <x:v>planning_anchor ±25–100 m</x:v>
      </x:c>
      <x:c r="AA33" s="52" t="str">
        <x:v>engineering_assumption</x:v>
      </x:c>
      <x:c r="AB33" s="52" t="str">
        <x:v>https://www.gillettestadium.com/</x:v>
      </x:c>
    </x:row>
    <x:row r="34">
      <x:c r="A34" s="52" t="str">
        <x:v>boston-signals-PERM</x:v>
      </x:c>
      <x:c r="B34" s="52" t="n">
        <x:v>2</x:v>
      </x:c>
      <x:c r="C34" s="52" t="str">
        <x:v>boston</x:v>
      </x:c>
      <x:c r="D34" s="52" t="str">
        <x:v>Boston</x:v>
      </x:c>
      <x:c r="E34" s="52" t="str">
        <x:v>signals</x:v>
      </x:c>
      <x:c r="F34" s="52" t="str">
        <x:v>Signal timing plans</x:v>
      </x:c>
      <x:c r="G34" s="52" t="str">
        <x:v>permanent</x:v>
      </x:c>
      <x:c r="H34" s="52" t="str">
        <x:v>bos-patriot-place-gate-a</x:v>
      </x:c>
      <x:c r="I34" s="52" t="str">
        <x:v>BOS-GA</x:v>
      </x:c>
      <x:c r="J34" s="52" t="str">
        <x:v>Patriot Place north plaza and Gate A</x:v>
      </x:c>
      <x:c r="K34" s="53" t="n">
        <x:v>42.0916</x:v>
      </x:c>
      <x:c r="L34" s="53" t="n">
        <x:v>-71.2648</x:v>
      </x:c>
      <x:c r="M34" s="56" t="n">
        <x:v>300</x:v>
      </x:c>
      <x:c r="N34" s="56" t="str">
        <x:v>point_model</x:v>
      </x:c>
      <x:c r="O34" s="56" t="n">
        <x:v>1</x:v>
      </x:c>
      <x:c r="P34" s="56" t="n">
        <x:v>1</x:v>
      </x:c>
      <x:c r="Q34" s="56" t="n">
        <x:v>6</x:v>
      </x:c>
      <x:c r="R34" s="56" t="n">
        <x:v>99</x:v>
      </x:c>
      <x:c r="S34" s="56" t="n">
        <x:v>0.1</x:v>
      </x:c>
      <x:c r="T34" s="52" t="str">
        <x:v>#2563EB</x:v>
      </x:c>
      <x:c r="U34" s="55" t="n">
        <x:v>0.85</x:v>
      </x:c>
      <x:c r="V34" s="58" t="n">
        <x:f>'Funding Categories'!M20</x:f>
        <x:v>202500</x:v>
      </x:c>
      <x:c r="W34" s="52" t="str">
        <x:f>IF(V34&gt;0,"Yes","No")</x:f>
        <x:v>Yes</x:v>
      </x:c>
      <x:c r="X34" s="52" t="str">
        <x:v>adaptive controllers and transit signal priority</x:v>
      </x:c>
      <x:c r="Y34" s="52" t="str">
        <x:v>concept_only</x:v>
      </x:c>
      <x:c r="Z34" s="52" t="str">
        <x:v>planning_anchor ±25–100 m</x:v>
      </x:c>
      <x:c r="AA34" s="52" t="str">
        <x:v>engineering_assumption</x:v>
      </x:c>
      <x:c r="AB34" s="52" t="str">
        <x:v>https://www.gillettestadium.com/</x:v>
      </x:c>
    </x:row>
    <x:row r="35">
      <x:c r="A35" s="52" t="str">
        <x:v>boston-hub-TMP</x:v>
      </x:c>
      <x:c r="B35" s="52" t="n">
        <x:v>2</x:v>
      </x:c>
      <x:c r="C35" s="52" t="str">
        <x:v>boston</x:v>
      </x:c>
      <x:c r="D35" s="52" t="str">
        <x:v>Boston</x:v>
      </x:c>
      <x:c r="E35" s="52" t="str">
        <x:v>hub</x:v>
      </x:c>
      <x:c r="F35" s="52" t="str">
        <x:v>Hub-to-stadium shuttle package</x:v>
      </x:c>
      <x:c r="G35" s="52" t="str">
        <x:v>temporary</x:v>
      </x:c>
      <x:c r="H35" s="52" t="str">
        <x:v>bos-patriot-place-gate-a</x:v>
      </x:c>
      <x:c r="I35" s="52" t="str">
        <x:v>BOS-GA</x:v>
      </x:c>
      <x:c r="J35" s="52" t="str">
        <x:v>Patriot Place north plaza and Gate A</x:v>
      </x:c>
      <x:c r="K35" s="53" t="n">
        <x:v>42.0916</x:v>
      </x:c>
      <x:c r="L35" s="53" t="n">
        <x:v>-71.2648</x:v>
      </x:c>
      <x:c r="M35" s="56" t="n">
        <x:v>300</x:v>
      </x:c>
      <x:c r="N35" s="56" t="str">
        <x:v>polygon_extrusion</x:v>
      </x:c>
      <x:c r="O35" s="56" t="n">
        <x:v>90</x:v>
      </x:c>
      <x:c r="P35" s="56" t="n">
        <x:v>60</x:v>
      </x:c>
      <x:c r="Q35" s="56" t="n">
        <x:v>3</x:v>
      </x:c>
      <x:c r="R35" s="56" t="n">
        <x:v>109</x:v>
      </x:c>
      <x:c r="S35" s="56" t="n">
        <x:v>0.05</x:v>
      </x:c>
      <x:c r="T35" s="52" t="str">
        <x:v>#F59E0B</x:v>
      </x:c>
      <x:c r="U35" s="55" t="n">
        <x:v>0.55</x:v>
      </x:c>
      <x:c r="V35" s="58" t="n">
        <x:f>'Funding Categories'!L21</x:f>
        <x:v>900000</x:v>
      </x:c>
      <x:c r="W35" s="52" t="str">
        <x:f>IF(V35&gt;0,"Yes","No")</x:f>
        <x:v>Yes</x:v>
      </x:c>
      <x:c r="X35" s="52" t="str">
        <x:v>pop-up shuttle zone; temporary shelters and dispatch</x:v>
      </x:c>
      <x:c r="Y35" s="52" t="str">
        <x:v>concept_only</x:v>
      </x:c>
      <x:c r="Z35" s="52" t="str">
        <x:v>planning_anchor ±25–100 m</x:v>
      </x:c>
      <x:c r="AA35" s="52" t="str">
        <x:v>engineering_assumption</x:v>
      </x:c>
      <x:c r="AB35" s="52" t="str">
        <x:v>https://www.gillettestadium.com/</x:v>
      </x:c>
    </x:row>
    <x:row r="36">
      <x:c r="A36" s="52" t="str">
        <x:v>boston-hub-PERM</x:v>
      </x:c>
      <x:c r="B36" s="52" t="n">
        <x:v>2</x:v>
      </x:c>
      <x:c r="C36" s="52" t="str">
        <x:v>boston</x:v>
      </x:c>
      <x:c r="D36" s="52" t="str">
        <x:v>Boston</x:v>
      </x:c>
      <x:c r="E36" s="52" t="str">
        <x:v>hub</x:v>
      </x:c>
      <x:c r="F36" s="52" t="str">
        <x:v>Hub-to-stadium shuttle package</x:v>
      </x:c>
      <x:c r="G36" s="52" t="str">
        <x:v>permanent</x:v>
      </x:c>
      <x:c r="H36" s="52" t="str">
        <x:v>bos-patriot-place-gate-a</x:v>
      </x:c>
      <x:c r="I36" s="52" t="str">
        <x:v>BOS-GA</x:v>
      </x:c>
      <x:c r="J36" s="52" t="str">
        <x:v>Patriot Place north plaza and Gate A</x:v>
      </x:c>
      <x:c r="K36" s="53" t="n">
        <x:v>42.0916</x:v>
      </x:c>
      <x:c r="L36" s="53" t="n">
        <x:v>-71.2648</x:v>
      </x:c>
      <x:c r="M36" s="56" t="n">
        <x:v>300</x:v>
      </x:c>
      <x:c r="N36" s="56" t="str">
        <x:v>polygon_extrusion</x:v>
      </x:c>
      <x:c r="O36" s="56" t="n">
        <x:v>90</x:v>
      </x:c>
      <x:c r="P36" s="56" t="n">
        <x:v>60</x:v>
      </x:c>
      <x:c r="Q36" s="56" t="n">
        <x:v>6</x:v>
      </x:c>
      <x:c r="R36" s="56" t="n">
        <x:v>116</x:v>
      </x:c>
      <x:c r="S36" s="56" t="n">
        <x:v>0.1</x:v>
      </x:c>
      <x:c r="T36" s="52" t="str">
        <x:v>#2563EB</x:v>
      </x:c>
      <x:c r="U36" s="55" t="n">
        <x:v>0.85</x:v>
      </x:c>
      <x:c r="V36" s="58" t="n">
        <x:f>'Funding Categories'!M21</x:f>
        <x:v>1350000</x:v>
      </x:c>
      <x:c r="W36" s="52" t="str">
        <x:f>IF(V36&gt;0,"Yes","No")</x:f>
        <x:v>Yes</x:v>
      </x:c>
      <x:c r="X36" s="52" t="str">
        <x:v>permanent multimodal mobility hub</x:v>
      </x:c>
      <x:c r="Y36" s="52" t="str">
        <x:v>concept_only</x:v>
      </x:c>
      <x:c r="Z36" s="52" t="str">
        <x:v>planning_anchor ±25–100 m</x:v>
      </x:c>
      <x:c r="AA36" s="52" t="str">
        <x:v>engineering_assumption</x:v>
      </x:c>
      <x:c r="AB36" s="52" t="str">
        <x:v>https://www.gillettestadium.com/</x:v>
      </x:c>
    </x:row>
    <x:row r="37">
      <x:c r="A37" s="52" t="str">
        <x:v>boston-parkride-TMP</x:v>
      </x:c>
      <x:c r="B37" s="52" t="n">
        <x:v>2</x:v>
      </x:c>
      <x:c r="C37" s="52" t="str">
        <x:v>boston</x:v>
      </x:c>
      <x:c r="D37" s="52" t="str">
        <x:v>Boston</x:v>
      </x:c>
      <x:c r="E37" s="52" t="str">
        <x:v>parkride</x:v>
      </x:c>
      <x:c r="F37" s="52" t="str">
        <x:v>Park-and-ride package</x:v>
      </x:c>
      <x:c r="G37" s="52" t="str">
        <x:v>temporary</x:v>
      </x:c>
      <x:c r="H37" s="52" t="str">
        <x:v>bos-patriot-place-gate-a</x:v>
      </x:c>
      <x:c r="I37" s="52" t="str">
        <x:v>BOS-GA</x:v>
      </x:c>
      <x:c r="J37" s="52" t="str">
        <x:v>Patriot Place north plaza and Gate A</x:v>
      </x:c>
      <x:c r="K37" s="53" t="n">
        <x:v>42.0916</x:v>
      </x:c>
      <x:c r="L37" s="53" t="n">
        <x:v>-71.2648</x:v>
      </x:c>
      <x:c r="M37" s="56" t="n">
        <x:v>300</x:v>
      </x:c>
      <x:c r="N37" s="56" t="str">
        <x:v>polygon_extrusion</x:v>
      </x:c>
      <x:c r="O37" s="56" t="n">
        <x:v>220</x:v>
      </x:c>
      <x:c r="P37" s="56" t="n">
        <x:v>150</x:v>
      </x:c>
      <x:c r="Q37" s="56" t="n">
        <x:v>0.2</x:v>
      </x:c>
      <x:c r="R37" s="56" t="n">
        <x:v>126</x:v>
      </x:c>
      <x:c r="S37" s="56" t="n">
        <x:v>0.05</x:v>
      </x:c>
      <x:c r="T37" s="52" t="str">
        <x:v>#F59E0B</x:v>
      </x:c>
      <x:c r="U37" s="55" t="n">
        <x:v>0.55</x:v>
      </x:c>
      <x:c r="V37" s="58" t="n">
        <x:f>'Funding Categories'!L22</x:f>
        <x:v>225000</x:v>
      </x:c>
      <x:c r="W37" s="52" t="str">
        <x:f>IF(V37&gt;0,"Yes","No")</x:f>
        <x:v>Yes</x:v>
      </x:c>
      <x:c r="X37" s="52" t="str">
        <x:v>leased intercept lots and temporary signing</x:v>
      </x:c>
      <x:c r="Y37" s="52" t="str">
        <x:v>concept_only</x:v>
      </x:c>
      <x:c r="Z37" s="52" t="str">
        <x:v>planning_anchor ±25–100 m</x:v>
      </x:c>
      <x:c r="AA37" s="52" t="str">
        <x:v>engineering_assumption</x:v>
      </x:c>
      <x:c r="AB37" s="52" t="str">
        <x:v>https://www.gillettestadium.com/</x:v>
      </x:c>
    </x:row>
    <x:row r="38">
      <x:c r="A38" s="52" t="str">
        <x:v>boston-parkride-PERM</x:v>
      </x:c>
      <x:c r="B38" s="52" t="n">
        <x:v>2</x:v>
      </x:c>
      <x:c r="C38" s="52" t="str">
        <x:v>boston</x:v>
      </x:c>
      <x:c r="D38" s="52" t="str">
        <x:v>Boston</x:v>
      </x:c>
      <x:c r="E38" s="52" t="str">
        <x:v>parkride</x:v>
      </x:c>
      <x:c r="F38" s="52" t="str">
        <x:v>Park-and-ride package</x:v>
      </x:c>
      <x:c r="G38" s="52" t="str">
        <x:v>permanent</x:v>
      </x:c>
      <x:c r="H38" s="52" t="str">
        <x:v>bos-patriot-place-gate-a</x:v>
      </x:c>
      <x:c r="I38" s="52" t="str">
        <x:v>BOS-GA</x:v>
      </x:c>
      <x:c r="J38" s="52" t="str">
        <x:v>Patriot Place north plaza and Gate A</x:v>
      </x:c>
      <x:c r="K38" s="53" t="n">
        <x:v>42.0916</x:v>
      </x:c>
      <x:c r="L38" s="53" t="n">
        <x:v>-71.2648</x:v>
      </x:c>
      <x:c r="M38" s="56" t="n">
        <x:v>300</x:v>
      </x:c>
      <x:c r="N38" s="56" t="str">
        <x:v>polygon_extrusion</x:v>
      </x:c>
      <x:c r="O38" s="56" t="n">
        <x:v>220</x:v>
      </x:c>
      <x:c r="P38" s="56" t="n">
        <x:v>150</x:v>
      </x:c>
      <x:c r="Q38" s="56" t="n">
        <x:v>0.2</x:v>
      </x:c>
      <x:c r="R38" s="56" t="n">
        <x:v>133</x:v>
      </x:c>
      <x:c r="S38" s="56" t="n">
        <x:v>0.1</x:v>
      </x:c>
      <x:c r="T38" s="52" t="str">
        <x:v>#2563EB</x:v>
      </x:c>
      <x:c r="U38" s="55" t="n">
        <x:v>0.85</x:v>
      </x:c>
      <x:c r="V38" s="58" t="n">
        <x:f>'Funding Categories'!M22</x:f>
        <x:v>225000</x:v>
      </x:c>
      <x:c r="W38" s="52" t="str">
        <x:f>IF(V38&gt;0,"Yes","No")</x:f>
        <x:v>Yes</x:v>
      </x:c>
      <x:c r="X38" s="52" t="str">
        <x:v>permanent park-and-ride with charging and transit access</x:v>
      </x:c>
      <x:c r="Y38" s="52" t="str">
        <x:v>concept_only</x:v>
      </x:c>
      <x:c r="Z38" s="52" t="str">
        <x:v>planning_anchor ±25–100 m</x:v>
      </x:c>
      <x:c r="AA38" s="52" t="str">
        <x:v>engineering_assumption</x:v>
      </x:c>
      <x:c r="AB38" s="52" t="str">
        <x:v>https://www.gillettestadium.com/</x:v>
      </x:c>
    </x:row>
    <x:row r="39">
      <x:c r="A39" s="52" t="str">
        <x:v>boston-ped-TMP</x:v>
      </x:c>
      <x:c r="B39" s="52" t="n">
        <x:v>2</x:v>
      </x:c>
      <x:c r="C39" s="52" t="str">
        <x:v>boston</x:v>
      </x:c>
      <x:c r="D39" s="52" t="str">
        <x:v>Boston</x:v>
      </x:c>
      <x:c r="E39" s="52" t="str">
        <x:v>ped</x:v>
      </x:c>
      <x:c r="F39" s="52" t="str">
        <x:v>Protected pedestrian corridor</x:v>
      </x:c>
      <x:c r="G39" s="52" t="str">
        <x:v>temporary</x:v>
      </x:c>
      <x:c r="H39" s="52" t="str">
        <x:v>bos-foxboro-station</x:v>
      </x:c>
      <x:c r="I39" s="52" t="str">
        <x:v>BOS-FXR</x:v>
      </x:c>
      <x:c r="J39" s="52" t="str">
        <x:v>Foxboro Station platform and stadium underpass</x:v>
      </x:c>
      <x:c r="K39" s="53" t="n">
        <x:v>42.0889</x:v>
      </x:c>
      <x:c r="L39" s="53" t="n">
        <x:v>-71.2597</x:v>
      </x:c>
      <x:c r="M39" s="56" t="n">
        <x:v>250</x:v>
      </x:c>
      <x:c r="N39" s="56" t="str">
        <x:v>line_extrusion</x:v>
      </x:c>
      <x:c r="O39" s="56" t="n">
        <x:v>1600</x:v>
      </x:c>
      <x:c r="P39" s="56" t="n">
        <x:v>6</x:v>
      </x:c>
      <x:c r="Q39" s="56" t="n">
        <x:v>0.15</x:v>
      </x:c>
      <x:c r="R39" s="56" t="n">
        <x:v>143</x:v>
      </x:c>
      <x:c r="S39" s="56" t="n">
        <x:v>0.05</x:v>
      </x:c>
      <x:c r="T39" s="52" t="str">
        <x:v>#F59E0B</x:v>
      </x:c>
      <x:c r="U39" s="55" t="n">
        <x:v>0.55</x:v>
      </x:c>
      <x:c r="V39" s="58" t="n">
        <x:f>'Funding Categories'!L23</x:f>
        <x:v>0</x:v>
      </x:c>
      <x:c r="W39" s="52" t="str">
        <x:f>IF(V39&gt;0,"Yes","No")</x:f>
        <x:v>No</x:v>
      </x:c>
      <x:c r="X39" s="52" t="str">
        <x:v>barricaded protected corridor; marshals and lighting</x:v>
      </x:c>
      <x:c r="Y39" s="52" t="str">
        <x:v>concept_only</x:v>
      </x:c>
      <x:c r="Z39" s="52" t="str">
        <x:v>planning_anchor ±25–100 m</x:v>
      </x:c>
      <x:c r="AA39" s="52" t="str">
        <x:v>engineering_assumption</x:v>
      </x:c>
      <x:c r="AB39" s="52" t="str">
        <x:v>https://www.mbta.com/stops/place-FB-0191</x:v>
      </x:c>
    </x:row>
    <x:row r="40">
      <x:c r="A40" s="52" t="str">
        <x:v>boston-ped-PERM</x:v>
      </x:c>
      <x:c r="B40" s="52" t="n">
        <x:v>2</x:v>
      </x:c>
      <x:c r="C40" s="52" t="str">
        <x:v>boston</x:v>
      </x:c>
      <x:c r="D40" s="52" t="str">
        <x:v>Boston</x:v>
      </x:c>
      <x:c r="E40" s="52" t="str">
        <x:v>ped</x:v>
      </x:c>
      <x:c r="F40" s="52" t="str">
        <x:v>Protected pedestrian corridor</x:v>
      </x:c>
      <x:c r="G40" s="52" t="str">
        <x:v>permanent</x:v>
      </x:c>
      <x:c r="H40" s="52" t="str">
        <x:v>bos-foxboro-station</x:v>
      </x:c>
      <x:c r="I40" s="52" t="str">
        <x:v>BOS-FXR</x:v>
      </x:c>
      <x:c r="J40" s="52" t="str">
        <x:v>Foxboro Station platform and stadium underpass</x:v>
      </x:c>
      <x:c r="K40" s="53" t="n">
        <x:v>42.0889</x:v>
      </x:c>
      <x:c r="L40" s="53" t="n">
        <x:v>-71.2597</x:v>
      </x:c>
      <x:c r="M40" s="56" t="n">
        <x:v>250</x:v>
      </x:c>
      <x:c r="N40" s="56" t="str">
        <x:v>line_extrusion</x:v>
      </x:c>
      <x:c r="O40" s="56" t="n">
        <x:v>1600</x:v>
      </x:c>
      <x:c r="P40" s="56" t="n">
        <x:v>6</x:v>
      </x:c>
      <x:c r="Q40" s="56" t="n">
        <x:v>0.15</x:v>
      </x:c>
      <x:c r="R40" s="56" t="n">
        <x:v>150</x:v>
      </x:c>
      <x:c r="S40" s="56" t="n">
        <x:v>0.1</x:v>
      </x:c>
      <x:c r="T40" s="52" t="str">
        <x:v>#0F766E</x:v>
      </x:c>
      <x:c r="U40" s="55" t="n">
        <x:v>0.85</x:v>
      </x:c>
      <x:c r="V40" s="58" t="n">
        <x:f>'Funding Categories'!M23</x:f>
        <x:v>0</x:v>
      </x:c>
      <x:c r="W40" s="52" t="str">
        <x:f>IF(V40&gt;0,"Yes","No")</x:f>
        <x:v>No</x:v>
      </x:c>
      <x:c r="X40" s="52" t="str">
        <x:v>widened sidewalk; lighting; drainage and separation</x:v>
      </x:c>
      <x:c r="Y40" s="52" t="str">
        <x:v>concept_only</x:v>
      </x:c>
      <x:c r="Z40" s="52" t="str">
        <x:v>planning_anchor ±25–100 m</x:v>
      </x:c>
      <x:c r="AA40" s="52" t="str">
        <x:v>engineering_assumption</x:v>
      </x:c>
      <x:c r="AB40" s="52" t="str">
        <x:v>https://www.mbta.com/stops/place-FB-0191</x:v>
      </x:c>
    </x:row>
    <x:row r="41">
      <x:c r="A41" s="52" t="str">
        <x:v>boston-bike-TMP</x:v>
      </x:c>
      <x:c r="B41" s="52" t="n">
        <x:v>2</x:v>
      </x:c>
      <x:c r="C41" s="52" t="str">
        <x:v>boston</x:v>
      </x:c>
      <x:c r="D41" s="52" t="str">
        <x:v>Boston</x:v>
      </x:c>
      <x:c r="E41" s="52" t="str">
        <x:v>bike</x:v>
      </x:c>
      <x:c r="F41" s="52" t="str">
        <x:v>Protected bicycle access</x:v>
      </x:c>
      <x:c r="G41" s="52" t="str">
        <x:v>temporary</x:v>
      </x:c>
      <x:c r="H41" s="52" t="str">
        <x:v>bos-foxboro-station</x:v>
      </x:c>
      <x:c r="I41" s="52" t="str">
        <x:v>BOS-FXR</x:v>
      </x:c>
      <x:c r="J41" s="52" t="str">
        <x:v>Foxboro Station platform and stadium underpass</x:v>
      </x:c>
      <x:c r="K41" s="53" t="n">
        <x:v>42.0889</x:v>
      </x:c>
      <x:c r="L41" s="53" t="n">
        <x:v>-71.2597</x:v>
      </x:c>
      <x:c r="M41" s="56" t="n">
        <x:v>250</x:v>
      </x:c>
      <x:c r="N41" s="56" t="str">
        <x:v>line_extrusion</x:v>
      </x:c>
      <x:c r="O41" s="56" t="n">
        <x:v>3200</x:v>
      </x:c>
      <x:c r="P41" s="56" t="n">
        <x:v>3</x:v>
      </x:c>
      <x:c r="Q41" s="56" t="n">
        <x:v>0.1</x:v>
      </x:c>
      <x:c r="R41" s="56" t="n">
        <x:v>160</x:v>
      </x:c>
      <x:c r="S41" s="56" t="n">
        <x:v>0.05</x:v>
      </x:c>
      <x:c r="T41" s="52" t="str">
        <x:v>#F59E0B</x:v>
      </x:c>
      <x:c r="U41" s="55" t="n">
        <x:v>0.55</x:v>
      </x:c>
      <x:c r="V41" s="58" t="n">
        <x:f>'Funding Categories'!L24</x:f>
        <x:v>0</x:v>
      </x:c>
      <x:c r="W41" s="52" t="str">
        <x:f>IF(V41&gt;0,"Yes","No")</x:f>
        <x:v>No</x:v>
      </x:c>
      <x:c r="X41" s="52" t="str">
        <x:v>pop-up protected lane and attended bike valet</x:v>
      </x:c>
      <x:c r="Y41" s="52" t="str">
        <x:v>concept_only</x:v>
      </x:c>
      <x:c r="Z41" s="52" t="str">
        <x:v>planning_anchor ±25–100 m</x:v>
      </x:c>
      <x:c r="AA41" s="52" t="str">
        <x:v>engineering_assumption</x:v>
      </x:c>
      <x:c r="AB41" s="52" t="str">
        <x:v>https://www.mbta.com/stops/place-FB-0191</x:v>
      </x:c>
    </x:row>
    <x:row r="42">
      <x:c r="A42" s="52" t="str">
        <x:v>boston-bike-PERM</x:v>
      </x:c>
      <x:c r="B42" s="52" t="n">
        <x:v>2</x:v>
      </x:c>
      <x:c r="C42" s="52" t="str">
        <x:v>boston</x:v>
      </x:c>
      <x:c r="D42" s="52" t="str">
        <x:v>Boston</x:v>
      </x:c>
      <x:c r="E42" s="52" t="str">
        <x:v>bike</x:v>
      </x:c>
      <x:c r="F42" s="52" t="str">
        <x:v>Protected bicycle access</x:v>
      </x:c>
      <x:c r="G42" s="52" t="str">
        <x:v>permanent</x:v>
      </x:c>
      <x:c r="H42" s="52" t="str">
        <x:v>bos-foxboro-station</x:v>
      </x:c>
      <x:c r="I42" s="52" t="str">
        <x:v>BOS-FXR</x:v>
      </x:c>
      <x:c r="J42" s="52" t="str">
        <x:v>Foxboro Station platform and stadium underpass</x:v>
      </x:c>
      <x:c r="K42" s="53" t="n">
        <x:v>42.0889</x:v>
      </x:c>
      <x:c r="L42" s="53" t="n">
        <x:v>-71.2597</x:v>
      </x:c>
      <x:c r="M42" s="56" t="n">
        <x:v>250</x:v>
      </x:c>
      <x:c r="N42" s="56" t="str">
        <x:v>line_extrusion</x:v>
      </x:c>
      <x:c r="O42" s="56" t="n">
        <x:v>3200</x:v>
      </x:c>
      <x:c r="P42" s="56" t="n">
        <x:v>3</x:v>
      </x:c>
      <x:c r="Q42" s="56" t="n">
        <x:v>0.1</x:v>
      </x:c>
      <x:c r="R42" s="56" t="n">
        <x:v>167</x:v>
      </x:c>
      <x:c r="S42" s="56" t="n">
        <x:v>0.1</x:v>
      </x:c>
      <x:c r="T42" s="52" t="str">
        <x:v>#0F766E</x:v>
      </x:c>
      <x:c r="U42" s="55" t="n">
        <x:v>0.85</x:v>
      </x:c>
      <x:c r="V42" s="58" t="n">
        <x:f>'Funding Categories'!M24</x:f>
        <x:v>0</x:v>
      </x:c>
      <x:c r="W42" s="52" t="str">
        <x:f>IF(V42&gt;0,"Yes","No")</x:f>
        <x:v>No</x:v>
      </x:c>
      <x:c r="X42" s="52" t="str">
        <x:v>protected bikeway and secure long-term parking</x:v>
      </x:c>
      <x:c r="Y42" s="52" t="str">
        <x:v>concept_only</x:v>
      </x:c>
      <x:c r="Z42" s="52" t="str">
        <x:v>planning_anchor ±25–100 m</x:v>
      </x:c>
      <x:c r="AA42" s="52" t="str">
        <x:v>engineering_assumption</x:v>
      </x:c>
      <x:c r="AB42" s="52" t="str">
        <x:v>https://www.mbta.com/stops/place-FB-0191</x:v>
      </x:c>
    </x:row>
    <x:row r="43">
      <x:c r="A43" s="52" t="str">
        <x:v>boston-tnc-TMP</x:v>
      </x:c>
      <x:c r="B43" s="52" t="n">
        <x:v>2</x:v>
      </x:c>
      <x:c r="C43" s="52" t="str">
        <x:v>boston</x:v>
      </x:c>
      <x:c r="D43" s="52" t="str">
        <x:v>Boston</x:v>
      </x:c>
      <x:c r="E43" s="52" t="str">
        <x:v>tnc</x:v>
      </x:c>
      <x:c r="F43" s="52" t="str">
        <x:v>Managed rideshare hub</x:v>
      </x:c>
      <x:c r="G43" s="52" t="str">
        <x:v>temporary</x:v>
      </x:c>
      <x:c r="H43" s="52" t="str">
        <x:v>bos-patriot-place-gate-a</x:v>
      </x:c>
      <x:c r="I43" s="52" t="str">
        <x:v>BOS-GA</x:v>
      </x:c>
      <x:c r="J43" s="52" t="str">
        <x:v>Patriot Place north plaza and Gate A</x:v>
      </x:c>
      <x:c r="K43" s="53" t="n">
        <x:v>42.0916</x:v>
      </x:c>
      <x:c r="L43" s="53" t="n">
        <x:v>-71.2648</x:v>
      </x:c>
      <x:c r="M43" s="56" t="n">
        <x:v>300</x:v>
      </x:c>
      <x:c r="N43" s="56" t="str">
        <x:v>polygon_extrusion</x:v>
      </x:c>
      <x:c r="O43" s="56" t="n">
        <x:v>70</x:v>
      </x:c>
      <x:c r="P43" s="56" t="n">
        <x:v>45</x:v>
      </x:c>
      <x:c r="Q43" s="56" t="n">
        <x:v>0.2</x:v>
      </x:c>
      <x:c r="R43" s="56" t="n">
        <x:v>177</x:v>
      </x:c>
      <x:c r="S43" s="56" t="n">
        <x:v>0.05</x:v>
      </x:c>
      <x:c r="T43" s="52" t="str">
        <x:v>#F59E0B</x:v>
      </x:c>
      <x:c r="U43" s="55" t="n">
        <x:v>0.55</x:v>
      </x:c>
      <x:c r="V43" s="58" t="n">
        <x:f>'Funding Categories'!L25</x:f>
        <x:v>400000</x:v>
      </x:c>
      <x:c r="W43" s="52" t="str">
        <x:f>IF(V43&gt;0,"Yes","No")</x:f>
        <x:v>Yes</x:v>
      </x:c>
      <x:c r="X43" s="52" t="str">
        <x:v>staffed geofenced pickup with temporary lane control</x:v>
      </x:c>
      <x:c r="Y43" s="52" t="str">
        <x:v>concept_only</x:v>
      </x:c>
      <x:c r="Z43" s="52" t="str">
        <x:v>planning_anchor ±25–100 m</x:v>
      </x:c>
      <x:c r="AA43" s="52" t="str">
        <x:v>engineering_assumption</x:v>
      </x:c>
      <x:c r="AB43" s="52" t="str">
        <x:v>https://www.gillettestadium.com/</x:v>
      </x:c>
    </x:row>
    <x:row r="44">
      <x:c r="A44" s="52" t="str">
        <x:v>boston-tnc-PERM</x:v>
      </x:c>
      <x:c r="B44" s="52" t="n">
        <x:v>2</x:v>
      </x:c>
      <x:c r="C44" s="52" t="str">
        <x:v>boston</x:v>
      </x:c>
      <x:c r="D44" s="52" t="str">
        <x:v>Boston</x:v>
      </x:c>
      <x:c r="E44" s="52" t="str">
        <x:v>tnc</x:v>
      </x:c>
      <x:c r="F44" s="52" t="str">
        <x:v>Managed rideshare hub</x:v>
      </x:c>
      <x:c r="G44" s="52" t="str">
        <x:v>permanent</x:v>
      </x:c>
      <x:c r="H44" s="52" t="str">
        <x:v>bos-patriot-place-gate-a</x:v>
      </x:c>
      <x:c r="I44" s="52" t="str">
        <x:v>BOS-GA</x:v>
      </x:c>
      <x:c r="J44" s="52" t="str">
        <x:v>Patriot Place north plaza and Gate A</x:v>
      </x:c>
      <x:c r="K44" s="53" t="n">
        <x:v>42.0916</x:v>
      </x:c>
      <x:c r="L44" s="53" t="n">
        <x:v>-71.2648</x:v>
      </x:c>
      <x:c r="M44" s="56" t="n">
        <x:v>300</x:v>
      </x:c>
      <x:c r="N44" s="56" t="str">
        <x:v>polygon_extrusion</x:v>
      </x:c>
      <x:c r="O44" s="56" t="n">
        <x:v>70</x:v>
      </x:c>
      <x:c r="P44" s="56" t="n">
        <x:v>45</x:v>
      </x:c>
      <x:c r="Q44" s="56" t="n">
        <x:v>0.2</x:v>
      </x:c>
      <x:c r="R44" s="56" t="n">
        <x:v>184</x:v>
      </x:c>
      <x:c r="S44" s="56" t="n">
        <x:v>0.1</x:v>
      </x:c>
      <x:c r="T44" s="52" t="str">
        <x:v>#2563EB</x:v>
      </x:c>
      <x:c r="U44" s="55" t="n">
        <x:v>0.85</x:v>
      </x:c>
      <x:c r="V44" s="58" t="n">
        <x:f>'Funding Categories'!M25</x:f>
        <x:v>400000</x:v>
      </x:c>
      <x:c r="W44" s="52" t="str">
        <x:f>IF(V44&gt;0,"Yes","No")</x:f>
        <x:v>Yes</x:v>
      </x:c>
      <x:c r="X44" s="52" t="str">
        <x:v>off-street rideshare hub with accessible bays</x:v>
      </x:c>
      <x:c r="Y44" s="52" t="str">
        <x:v>concept_only</x:v>
      </x:c>
      <x:c r="Z44" s="52" t="str">
        <x:v>planning_anchor ±25–100 m</x:v>
      </x:c>
      <x:c r="AA44" s="52" t="str">
        <x:v>engineering_assumption</x:v>
      </x:c>
      <x:c r="AB44" s="52" t="str">
        <x:v>https://www.gillettestadium.com/</x:v>
      </x:c>
    </x:row>
    <x:row r="45">
      <x:c r="A45" s="52" t="str">
        <x:v>boston-wayfinding-TMP</x:v>
      </x:c>
      <x:c r="B45" s="52" t="n">
        <x:v>2</x:v>
      </x:c>
      <x:c r="C45" s="52" t="str">
        <x:v>boston</x:v>
      </x:c>
      <x:c r="D45" s="52" t="str">
        <x:v>Boston</x:v>
      </x:c>
      <x:c r="E45" s="52" t="str">
        <x:v>wayfinding</x:v>
      </x:c>
      <x:c r="F45" s="52" t="str">
        <x:v>Multilingual wayfinding</x:v>
      </x:c>
      <x:c r="G45" s="52" t="str">
        <x:v>temporary</x:v>
      </x:c>
      <x:c r="H45" s="52" t="str">
        <x:v>bos-foxboro-station</x:v>
      </x:c>
      <x:c r="I45" s="52" t="str">
        <x:v>BOS-FXR</x:v>
      </x:c>
      <x:c r="J45" s="52" t="str">
        <x:v>Foxboro Station platform and stadium underpass</x:v>
      </x:c>
      <x:c r="K45" s="53" t="n">
        <x:v>42.0889</x:v>
      </x:c>
      <x:c r="L45" s="53" t="n">
        <x:v>-71.2597</x:v>
      </x:c>
      <x:c r="M45" s="56" t="n">
        <x:v>250</x:v>
      </x:c>
      <x:c r="N45" s="56" t="str">
        <x:v>point_model</x:v>
      </x:c>
      <x:c r="O45" s="56" t="n">
        <x:v>1</x:v>
      </x:c>
      <x:c r="P45" s="56" t="n">
        <x:v>1</x:v>
      </x:c>
      <x:c r="Q45" s="56" t="n">
        <x:v>2.5</x:v>
      </x:c>
      <x:c r="R45" s="56" t="n">
        <x:v>194</x:v>
      </x:c>
      <x:c r="S45" s="56" t="n">
        <x:v>0.05</x:v>
      </x:c>
      <x:c r="T45" s="52" t="str">
        <x:v>#F59E0B</x:v>
      </x:c>
      <x:c r="U45" s="55" t="n">
        <x:v>0.55</x:v>
      </x:c>
      <x:c r="V45" s="58" t="n">
        <x:f>'Funding Categories'!L26</x:f>
        <x:v>135000</x:v>
      </x:c>
      <x:c r="W45" s="52" t="str">
        <x:f>IF(V45&gt;0,"Yes","No")</x:f>
        <x:v>Yes</x:v>
      </x:c>
      <x:c r="X45" s="52" t="str">
        <x:v>portable signs; digital messages; multilingual ambassadors</x:v>
      </x:c>
      <x:c r="Y45" s="52" t="str">
        <x:v>concept_only</x:v>
      </x:c>
      <x:c r="Z45" s="52" t="str">
        <x:v>planning_anchor ±25–100 m</x:v>
      </x:c>
      <x:c r="AA45" s="52" t="str">
        <x:v>engineering_assumption</x:v>
      </x:c>
      <x:c r="AB45" s="52" t="str">
        <x:v>https://www.mbta.com/stops/place-FB-0191</x:v>
      </x:c>
    </x:row>
    <x:row r="46">
      <x:c r="A46" s="52" t="str">
        <x:v>boston-wayfinding-PERM</x:v>
      </x:c>
      <x:c r="B46" s="52" t="n">
        <x:v>2</x:v>
      </x:c>
      <x:c r="C46" s="52" t="str">
        <x:v>boston</x:v>
      </x:c>
      <x:c r="D46" s="52" t="str">
        <x:v>Boston</x:v>
      </x:c>
      <x:c r="E46" s="52" t="str">
        <x:v>wayfinding</x:v>
      </x:c>
      <x:c r="F46" s="52" t="str">
        <x:v>Multilingual wayfinding</x:v>
      </x:c>
      <x:c r="G46" s="52" t="str">
        <x:v>permanent</x:v>
      </x:c>
      <x:c r="H46" s="52" t="str">
        <x:v>bos-foxboro-station</x:v>
      </x:c>
      <x:c r="I46" s="52" t="str">
        <x:v>BOS-FXR</x:v>
      </x:c>
      <x:c r="J46" s="52" t="str">
        <x:v>Foxboro Station platform and stadium underpass</x:v>
      </x:c>
      <x:c r="K46" s="53" t="n">
        <x:v>42.0889</x:v>
      </x:c>
      <x:c r="L46" s="53" t="n">
        <x:v>-71.2597</x:v>
      </x:c>
      <x:c r="M46" s="56" t="n">
        <x:v>250</x:v>
      </x:c>
      <x:c r="N46" s="56" t="str">
        <x:v>point_model</x:v>
      </x:c>
      <x:c r="O46" s="56" t="n">
        <x:v>1</x:v>
      </x:c>
      <x:c r="P46" s="56" t="n">
        <x:v>1</x:v>
      </x:c>
      <x:c r="Q46" s="56" t="n">
        <x:v>4</x:v>
      </x:c>
      <x:c r="R46" s="56" t="n">
        <x:v>201</x:v>
      </x:c>
      <x:c r="S46" s="56" t="n">
        <x:v>0.1</x:v>
      </x:c>
      <x:c r="T46" s="52" t="str">
        <x:v>#2563EB</x:v>
      </x:c>
      <x:c r="U46" s="55" t="n">
        <x:v>0.85</x:v>
      </x:c>
      <x:c r="V46" s="58" t="n">
        <x:f>'Funding Categories'!M26</x:f>
        <x:v>165000</x:v>
      </x:c>
      <x:c r="W46" s="52" t="str">
        <x:f>IF(V46&gt;0,"Yes","No")</x:f>
        <x:v>Yes</x:v>
      </x:c>
      <x:c r="X46" s="52" t="str">
        <x:v>fixed multilingual physical and digital wayfinding</x:v>
      </x:c>
      <x:c r="Y46" s="52" t="str">
        <x:v>concept_only</x:v>
      </x:c>
      <x:c r="Z46" s="52" t="str">
        <x:v>planning_anchor ±25–100 m</x:v>
      </x:c>
      <x:c r="AA46" s="52" t="str">
        <x:v>engineering_assumption</x:v>
      </x:c>
      <x:c r="AB46" s="52" t="str">
        <x:v>https://www.mbta.com/stops/place-FB-0191</x:v>
      </x:c>
    </x:row>
    <x:row r="47">
      <x:c r="A47" s="52" t="str">
        <x:v>boston-station-TMP</x:v>
      </x:c>
      <x:c r="B47" s="52" t="n">
        <x:v>2</x:v>
      </x:c>
      <x:c r="C47" s="52" t="str">
        <x:v>boston</x:v>
      </x:c>
      <x:c r="D47" s="52" t="str">
        <x:v>Boston</x:v>
      </x:c>
      <x:c r="E47" s="52" t="str">
        <x:v>station</x:v>
      </x:c>
      <x:c r="F47" s="52" t="str">
        <x:v>Station-capacity package</x:v>
      </x:c>
      <x:c r="G47" s="52" t="str">
        <x:v>temporary</x:v>
      </x:c>
      <x:c r="H47" s="52" t="str">
        <x:v>bos-foxboro-station</x:v>
      </x:c>
      <x:c r="I47" s="52" t="str">
        <x:v>BOS-FXR</x:v>
      </x:c>
      <x:c r="J47" s="52" t="str">
        <x:v>Foxboro Station platform and stadium underpass</x:v>
      </x:c>
      <x:c r="K47" s="53" t="n">
        <x:v>42.0889</x:v>
      </x:c>
      <x:c r="L47" s="53" t="n">
        <x:v>-71.2597</x:v>
      </x:c>
      <x:c r="M47" s="56" t="n">
        <x:v>250</x:v>
      </x:c>
      <x:c r="N47" s="56" t="str">
        <x:v>glb_model</x:v>
      </x:c>
      <x:c r="O47" s="56" t="n">
        <x:v>120</x:v>
      </x:c>
      <x:c r="P47" s="56" t="n">
        <x:v>45</x:v>
      </x:c>
      <x:c r="Q47" s="56" t="n">
        <x:v>6</x:v>
      </x:c>
      <x:c r="R47" s="56" t="n">
        <x:v>211</x:v>
      </x:c>
      <x:c r="S47" s="56" t="n">
        <x:v>0.05</x:v>
      </x:c>
      <x:c r="T47" s="52" t="str">
        <x:v>#F59E0B</x:v>
      </x:c>
      <x:c r="U47" s="55" t="n">
        <x:v>0.55</x:v>
      </x:c>
      <x:c r="V47" s="58" t="n">
        <x:f>'Funding Categories'!L27</x:f>
        <x:v>0</x:v>
      </x:c>
      <x:c r="W47" s="52" t="str">
        <x:f>IF(V47&gt;0,"Yes","No")</x:f>
        <x:v>No</x:v>
      </x:c>
      <x:c r="X47" s="52" t="str">
        <x:v>temporary gates; queue barriers; portable fare equipment</x:v>
      </x:c>
      <x:c r="Y47" s="52" t="str">
        <x:v>concept_only</x:v>
      </x:c>
      <x:c r="Z47" s="52" t="str">
        <x:v>planning_anchor ±25–100 m</x:v>
      </x:c>
      <x:c r="AA47" s="52" t="str">
        <x:v>engineering_assumption</x:v>
      </x:c>
      <x:c r="AB47" s="52" t="str">
        <x:v>https://www.mbta.com/stops/place-FB-0191</x:v>
      </x:c>
    </x:row>
    <x:row r="48">
      <x:c r="A48" s="52" t="str">
        <x:v>boston-station-PERM</x:v>
      </x:c>
      <x:c r="B48" s="52" t="n">
        <x:v>2</x:v>
      </x:c>
      <x:c r="C48" s="52" t="str">
        <x:v>boston</x:v>
      </x:c>
      <x:c r="D48" s="52" t="str">
        <x:v>Boston</x:v>
      </x:c>
      <x:c r="E48" s="52" t="str">
        <x:v>station</x:v>
      </x:c>
      <x:c r="F48" s="52" t="str">
        <x:v>Station-capacity package</x:v>
      </x:c>
      <x:c r="G48" s="52" t="str">
        <x:v>permanent</x:v>
      </x:c>
      <x:c r="H48" s="52" t="str">
        <x:v>bos-foxboro-station</x:v>
      </x:c>
      <x:c r="I48" s="52" t="str">
        <x:v>BOS-FXR</x:v>
      </x:c>
      <x:c r="J48" s="52" t="str">
        <x:v>Foxboro Station platform and stadium underpass</x:v>
      </x:c>
      <x:c r="K48" s="53" t="n">
        <x:v>42.0889</x:v>
      </x:c>
      <x:c r="L48" s="53" t="n">
        <x:v>-71.2597</x:v>
      </x:c>
      <x:c r="M48" s="56" t="n">
        <x:v>250</x:v>
      </x:c>
      <x:c r="N48" s="56" t="str">
        <x:v>glb_model</x:v>
      </x:c>
      <x:c r="O48" s="56" t="n">
        <x:v>120</x:v>
      </x:c>
      <x:c r="P48" s="56" t="n">
        <x:v>45</x:v>
      </x:c>
      <x:c r="Q48" s="56" t="n">
        <x:v>18</x:v>
      </x:c>
      <x:c r="R48" s="56" t="n">
        <x:v>218</x:v>
      </x:c>
      <x:c r="S48" s="56" t="n">
        <x:v>0.1</x:v>
      </x:c>
      <x:c r="T48" s="52" t="str">
        <x:v>#2563EB</x:v>
      </x:c>
      <x:c r="U48" s="55" t="n">
        <x:v>0.85</x:v>
      </x:c>
      <x:c r="V48" s="58" t="n">
        <x:f>'Funding Categories'!M27</x:f>
        <x:v>0</x:v>
      </x:c>
      <x:c r="W48" s="52" t="str">
        <x:f>IF(V48&gt;0,"Yes","No")</x:f>
        <x:v>No</x:v>
      </x:c>
      <x:c r="X48" s="52" t="str">
        <x:v>platform, entry and circulation expansion</x:v>
      </x:c>
      <x:c r="Y48" s="52" t="str">
        <x:v>concept_only</x:v>
      </x:c>
      <x:c r="Z48" s="52" t="str">
        <x:v>planning_anchor ±25–100 m</x:v>
      </x:c>
      <x:c r="AA48" s="52" t="str">
        <x:v>engineering_assumption</x:v>
      </x:c>
      <x:c r="AB48" s="52" t="str">
        <x:v>https://www.mbta.com/stops/place-FB-0191</x:v>
      </x:c>
    </x:row>
    <x:row r="49">
      <x:c r="A49" s="52" t="str">
        <x:v>boston-toc-TMP</x:v>
      </x:c>
      <x:c r="B49" s="52" t="n">
        <x:v>2</x:v>
      </x:c>
      <x:c r="C49" s="52" t="str">
        <x:v>boston</x:v>
      </x:c>
      <x:c r="D49" s="52" t="str">
        <x:v>Boston</x:v>
      </x:c>
      <x:c r="E49" s="52" t="str">
        <x:v>toc</x:v>
      </x:c>
      <x:c r="F49" s="52" t="str">
        <x:v>Integrated traffic operations</x:v>
      </x:c>
      <x:c r="G49" s="52" t="str">
        <x:v>temporary</x:v>
      </x:c>
      <x:c r="H49" s="52" t="str">
        <x:v>bos-patriot-place-gate-a</x:v>
      </x:c>
      <x:c r="I49" s="52" t="str">
        <x:v>BOS-GA</x:v>
      </x:c>
      <x:c r="J49" s="52" t="str">
        <x:v>Patriot Place north plaza and Gate A</x:v>
      </x:c>
      <x:c r="K49" s="53" t="n">
        <x:v>42.0916</x:v>
      </x:c>
      <x:c r="L49" s="53" t="n">
        <x:v>-71.2648</x:v>
      </x:c>
      <x:c r="M49" s="56" t="n">
        <x:v>300</x:v>
      </x:c>
      <x:c r="N49" s="56" t="str">
        <x:v>glb_model</x:v>
      </x:c>
      <x:c r="O49" s="56" t="n">
        <x:v>60</x:v>
      </x:c>
      <x:c r="P49" s="56" t="n">
        <x:v>40</x:v>
      </x:c>
      <x:c r="Q49" s="56" t="n">
        <x:v>4</x:v>
      </x:c>
      <x:c r="R49" s="56" t="n">
        <x:v>228</x:v>
      </x:c>
      <x:c r="S49" s="56" t="n">
        <x:v>0.05</x:v>
      </x:c>
      <x:c r="T49" s="52" t="str">
        <x:v>#F59E0B</x:v>
      </x:c>
      <x:c r="U49" s="55" t="n">
        <x:v>0.55</x:v>
      </x:c>
      <x:c r="V49" s="58" t="n">
        <x:f>'Funding Categories'!L28</x:f>
        <x:v>375000</x:v>
      </x:c>
      <x:c r="W49" s="52" t="str">
        <x:f>IF(V49&gt;0,"Yes","No")</x:f>
        <x:v>Yes</x:v>
      </x:c>
      <x:c r="X49" s="52" t="str">
        <x:v>unified incident command and temporary sensor feeds</x:v>
      </x:c>
      <x:c r="Y49" s="52" t="str">
        <x:v>concept_only</x:v>
      </x:c>
      <x:c r="Z49" s="52" t="str">
        <x:v>planning_anchor ±25–100 m</x:v>
      </x:c>
      <x:c r="AA49" s="52" t="str">
        <x:v>engineering_assumption</x:v>
      </x:c>
      <x:c r="AB49" s="52" t="str">
        <x:v>https://www.gillettestadium.com/</x:v>
      </x:c>
    </x:row>
    <x:row r="50">
      <x:c r="A50" s="52" t="str">
        <x:v>boston-toc-PERM</x:v>
      </x:c>
      <x:c r="B50" s="52" t="n">
        <x:v>2</x:v>
      </x:c>
      <x:c r="C50" s="52" t="str">
        <x:v>boston</x:v>
      </x:c>
      <x:c r="D50" s="52" t="str">
        <x:v>Boston</x:v>
      </x:c>
      <x:c r="E50" s="52" t="str">
        <x:v>toc</x:v>
      </x:c>
      <x:c r="F50" s="52" t="str">
        <x:v>Integrated traffic operations</x:v>
      </x:c>
      <x:c r="G50" s="52" t="str">
        <x:v>permanent</x:v>
      </x:c>
      <x:c r="H50" s="52" t="str">
        <x:v>bos-patriot-place-gate-a</x:v>
      </x:c>
      <x:c r="I50" s="52" t="str">
        <x:v>BOS-GA</x:v>
      </x:c>
      <x:c r="J50" s="52" t="str">
        <x:v>Patriot Place north plaza and Gate A</x:v>
      </x:c>
      <x:c r="K50" s="53" t="n">
        <x:v>42.0916</x:v>
      </x:c>
      <x:c r="L50" s="53" t="n">
        <x:v>-71.2648</x:v>
      </x:c>
      <x:c r="M50" s="56" t="n">
        <x:v>300</x:v>
      </x:c>
      <x:c r="N50" s="56" t="str">
        <x:v>glb_model</x:v>
      </x:c>
      <x:c r="O50" s="56" t="n">
        <x:v>60</x:v>
      </x:c>
      <x:c r="P50" s="56" t="n">
        <x:v>40</x:v>
      </x:c>
      <x:c r="Q50" s="56" t="n">
        <x:v>12</x:v>
      </x:c>
      <x:c r="R50" s="56" t="n">
        <x:v>235</x:v>
      </x:c>
      <x:c r="S50" s="56" t="n">
        <x:v>0.1</x:v>
      </x:c>
      <x:c r="T50" s="52" t="str">
        <x:v>#2563EB</x:v>
      </x:c>
      <x:c r="U50" s="55" t="n">
        <x:v>0.85</x:v>
      </x:c>
      <x:c r="V50" s="58" t="n">
        <x:f>'Funding Categories'!M28</x:f>
        <x:v>1125000</x:v>
      </x:c>
      <x:c r="W50" s="52" t="str">
        <x:f>IF(V50&gt;0,"Yes","No")</x:f>
        <x:v>Yes</x:v>
      </x:c>
      <x:c r="X50" s="52" t="str">
        <x:v>integrated operations center and adaptive dispatch</x:v>
      </x:c>
      <x:c r="Y50" s="52" t="str">
        <x:v>concept_only</x:v>
      </x:c>
      <x:c r="Z50" s="52" t="str">
        <x:v>planning_anchor ±25–100 m</x:v>
      </x:c>
      <x:c r="AA50" s="52" t="str">
        <x:v>engineering_assumption</x:v>
      </x:c>
      <x:c r="AB50" s="52" t="str">
        <x:v>https://www.gillettestadium.com/</x:v>
      </x:c>
    </x:row>
    <x:row r="51">
      <x:c r="A51" s="52" t="str">
        <x:v>boston-access-TMP</x:v>
      </x:c>
      <x:c r="B51" s="52" t="n">
        <x:v>2</x:v>
      </x:c>
      <x:c r="C51" s="52" t="str">
        <x:v>boston</x:v>
      </x:c>
      <x:c r="D51" s="52" t="str">
        <x:v>Boston</x:v>
      </x:c>
      <x:c r="E51" s="52" t="str">
        <x:v>access</x:v>
      </x:c>
      <x:c r="F51" s="52" t="str">
        <x:v>ADA/microtransit access</x:v>
      </x:c>
      <x:c r="G51" s="52" t="str">
        <x:v>temporary</x:v>
      </x:c>
      <x:c r="H51" s="52" t="str">
        <x:v>bos-foxboro-station</x:v>
      </x:c>
      <x:c r="I51" s="52" t="str">
        <x:v>BOS-FXR</x:v>
      </x:c>
      <x:c r="J51" s="52" t="str">
        <x:v>Foxboro Station platform and stadium underpass</x:v>
      </x:c>
      <x:c r="K51" s="53" t="n">
        <x:v>42.0889</x:v>
      </x:c>
      <x:c r="L51" s="53" t="n">
        <x:v>-71.2597</x:v>
      </x:c>
      <x:c r="M51" s="56" t="n">
        <x:v>250</x:v>
      </x:c>
      <x:c r="N51" s="56" t="str">
        <x:v>line_extrusion</x:v>
      </x:c>
      <x:c r="O51" s="56" t="n">
        <x:v>800</x:v>
      </x:c>
      <x:c r="P51" s="56" t="n">
        <x:v>3</x:v>
      </x:c>
      <x:c r="Q51" s="56" t="n">
        <x:v>0.1</x:v>
      </x:c>
      <x:c r="R51" s="56" t="n">
        <x:v>245</x:v>
      </x:c>
      <x:c r="S51" s="56" t="n">
        <x:v>0.05</x:v>
      </x:c>
      <x:c r="T51" s="52" t="str">
        <x:v>#F59E0B</x:v>
      </x:c>
      <x:c r="U51" s="55" t="n">
        <x:v>0.55</x:v>
      </x:c>
      <x:c r="V51" s="58" t="n">
        <x:f>'Funding Categories'!L29</x:f>
        <x:v>0</x:v>
      </x:c>
      <x:c r="W51" s="52" t="str">
        <x:f>IF(V51&gt;0,"Yes","No")</x:f>
        <x:v>No</x:v>
      </x:c>
      <x:c r="X51" s="52" t="str">
        <x:v>accessible shuttles; temporary ramps and staffed assistance</x:v>
      </x:c>
      <x:c r="Y51" s="52" t="str">
        <x:v>concept_only</x:v>
      </x:c>
      <x:c r="Z51" s="52" t="str">
        <x:v>planning_anchor ±25–100 m</x:v>
      </x:c>
      <x:c r="AA51" s="52" t="str">
        <x:v>engineering_assumption</x:v>
      </x:c>
      <x:c r="AB51" s="52" t="str">
        <x:v>https://www.mbta.com/stops/place-FB-0191</x:v>
      </x:c>
    </x:row>
    <x:row r="52">
      <x:c r="A52" s="52" t="str">
        <x:v>boston-access-PERM</x:v>
      </x:c>
      <x:c r="B52" s="52" t="n">
        <x:v>2</x:v>
      </x:c>
      <x:c r="C52" s="52" t="str">
        <x:v>boston</x:v>
      </x:c>
      <x:c r="D52" s="52" t="str">
        <x:v>Boston</x:v>
      </x:c>
      <x:c r="E52" s="52" t="str">
        <x:v>access</x:v>
      </x:c>
      <x:c r="F52" s="52" t="str">
        <x:v>ADA/microtransit access</x:v>
      </x:c>
      <x:c r="G52" s="52" t="str">
        <x:v>permanent</x:v>
      </x:c>
      <x:c r="H52" s="52" t="str">
        <x:v>bos-foxboro-station</x:v>
      </x:c>
      <x:c r="I52" s="52" t="str">
        <x:v>BOS-FXR</x:v>
      </x:c>
      <x:c r="J52" s="52" t="str">
        <x:v>Foxboro Station platform and stadium underpass</x:v>
      </x:c>
      <x:c r="K52" s="53" t="n">
        <x:v>42.0889</x:v>
      </x:c>
      <x:c r="L52" s="53" t="n">
        <x:v>-71.2597</x:v>
      </x:c>
      <x:c r="M52" s="56" t="n">
        <x:v>250</x:v>
      </x:c>
      <x:c r="N52" s="56" t="str">
        <x:v>line_extrusion</x:v>
      </x:c>
      <x:c r="O52" s="56" t="n">
        <x:v>800</x:v>
      </x:c>
      <x:c r="P52" s="56" t="n">
        <x:v>3</x:v>
      </x:c>
      <x:c r="Q52" s="56" t="n">
        <x:v>0.1</x:v>
      </x:c>
      <x:c r="R52" s="56" t="n">
        <x:v>252</x:v>
      </x:c>
      <x:c r="S52" s="56" t="n">
        <x:v>0.1</x:v>
      </x:c>
      <x:c r="T52" s="52" t="str">
        <x:v>#2563EB</x:v>
      </x:c>
      <x:c r="U52" s="55" t="n">
        <x:v>0.85</x:v>
      </x:c>
      <x:c r="V52" s="58" t="n">
        <x:f>'Funding Categories'!M29</x:f>
        <x:v>0</x:v>
      </x:c>
      <x:c r="W52" s="52" t="str">
        <x:f>IF(V52&gt;0,"Yes","No")</x:f>
        <x:v>No</x:v>
      </x:c>
      <x:c r="X52" s="52" t="str">
        <x:v>ADA ramps; tactile guidance; accessible first/last-mile network</x:v>
      </x:c>
      <x:c r="Y52" s="52" t="str">
        <x:v>concept_only</x:v>
      </x:c>
      <x:c r="Z52" s="52" t="str">
        <x:v>planning_anchor ±25–100 m</x:v>
      </x:c>
      <x:c r="AA52" s="52" t="str">
        <x:v>engineering_assumption</x:v>
      </x:c>
      <x:c r="AB52" s="52" t="str">
        <x:v>https://www.mbta.com/stops/place-FB-0191</x:v>
      </x:c>
    </x:row>
    <x:row r="53">
      <x:c r="A53" s="52" t="str">
        <x:v>dallas-service-TMP</x:v>
      </x:c>
      <x:c r="B53" s="52" t="n">
        <x:v>3</x:v>
      </x:c>
      <x:c r="C53" s="52" t="str">
        <x:v>dallas</x:v>
      </x:c>
      <x:c r="D53" s="52" t="str">
        <x:v>Dallas</x:v>
      </x:c>
      <x:c r="E53" s="52" t="str">
        <x:v>service</x:v>
      </x:c>
      <x:c r="F53" s="52" t="str">
        <x:v>Extra transit service</x:v>
      </x:c>
      <x:c r="G53" s="52" t="str">
        <x:v>temporary</x:v>
      </x:c>
      <x:c r="H53" s="52" t="str">
        <x:v>dal-att-way-east-plaza</x:v>
      </x:c>
      <x:c r="I53" s="52" t="str">
        <x:v>DAL-EPL</x:v>
      </x:c>
      <x:c r="J53" s="52" t="str">
        <x:v>AT&amp;T Way east plaza approach</x:v>
      </x:c>
      <x:c r="K53" s="53" t="n">
        <x:v>32.7479</x:v>
      </x:c>
      <x:c r="L53" s="53" t="n">
        <x:v>-97.0909</x:v>
      </x:c>
      <x:c r="M53" s="56" t="n">
        <x:v>300</x:v>
      </x:c>
      <x:c r="N53" s="56" t="str">
        <x:v>animated_route</x:v>
      </x:c>
      <x:c r="O53" s="56" t="n">
        <x:v>1500</x:v>
      </x:c>
      <x:c r="P53" s="56" t="n">
        <x:v>2</x:v>
      </x:c>
      <x:c r="Q53" s="56" t="n">
        <x:v>0.5</x:v>
      </x:c>
      <x:c r="R53" s="56" t="n">
        <x:v>87</x:v>
      </x:c>
      <x:c r="S53" s="56" t="n">
        <x:v>0.05</x:v>
      </x:c>
      <x:c r="T53" s="52" t="str">
        <x:v>#F59E0B</x:v>
      </x:c>
      <x:c r="U53" s="55" t="n">
        <x:v>0.55</x:v>
      </x:c>
      <x:c r="V53" s="58" t="n">
        <x:f>'Funding Categories'!L31</x:f>
        <x:v>1760000</x:v>
      </x:c>
      <x:c r="W53" s="52" t="str">
        <x:f>IF(V53&gt;0,"Yes","No")</x:f>
        <x:v>Yes</x:v>
      </x:c>
      <x:c r="X53" s="52" t="str">
        <x:v>extra rail/bus vehicle-hours; standby operators; event timetable</x:v>
      </x:c>
      <x:c r="Y53" s="52" t="str">
        <x:v>concept_only</x:v>
      </x:c>
      <x:c r="Z53" s="52" t="str">
        <x:v>planning_anchor ±25–100 m</x:v>
      </x:c>
      <x:c r="AA53" s="52" t="str">
        <x:v>engineering_assumption</x:v>
      </x:c>
      <x:c r="AB53" s="52" t="str">
        <x:v>https://attstadium.com/stadium-info/parking/</x:v>
      </x:c>
    </x:row>
    <x:row r="54">
      <x:c r="A54" s="52" t="str">
        <x:v>dallas-service-PERM</x:v>
      </x:c>
      <x:c r="B54" s="52" t="n">
        <x:v>3</x:v>
      </x:c>
      <x:c r="C54" s="52" t="str">
        <x:v>dallas</x:v>
      </x:c>
      <x:c r="D54" s="52" t="str">
        <x:v>Dallas</x:v>
      </x:c>
      <x:c r="E54" s="52" t="str">
        <x:v>service</x:v>
      </x:c>
      <x:c r="F54" s="52" t="str">
        <x:v>Extra transit service</x:v>
      </x:c>
      <x:c r="G54" s="52" t="str">
        <x:v>permanent</x:v>
      </x:c>
      <x:c r="H54" s="52" t="str">
        <x:v>dal-att-way-east-plaza</x:v>
      </x:c>
      <x:c r="I54" s="52" t="str">
        <x:v>DAL-EPL</x:v>
      </x:c>
      <x:c r="J54" s="52" t="str">
        <x:v>AT&amp;T Way east plaza approach</x:v>
      </x:c>
      <x:c r="K54" s="53" t="n">
        <x:v>32.7479</x:v>
      </x:c>
      <x:c r="L54" s="53" t="n">
        <x:v>-97.0909</x:v>
      </x:c>
      <x:c r="M54" s="56" t="n">
        <x:v>300</x:v>
      </x:c>
      <x:c r="N54" s="56" t="str">
        <x:v>animated_route</x:v>
      </x:c>
      <x:c r="O54" s="56" t="n">
        <x:v>1500</x:v>
      </x:c>
      <x:c r="P54" s="56" t="n">
        <x:v>2</x:v>
      </x:c>
      <x:c r="Q54" s="56" t="n">
        <x:v>1</x:v>
      </x:c>
      <x:c r="R54" s="56" t="n">
        <x:v>94</x:v>
      </x:c>
      <x:c r="S54" s="56" t="n">
        <x:v>0.1</x:v>
      </x:c>
      <x:c r="T54" s="52" t="str">
        <x:v>#2563EB</x:v>
      </x:c>
      <x:c r="U54" s="55" t="n">
        <x:v>0.85</x:v>
      </x:c>
      <x:c r="V54" s="58" t="n">
        <x:f>'Funding Categories'!M31</x:f>
        <x:v>440000</x:v>
      </x:c>
      <x:c r="W54" s="52" t="str">
        <x:f>IF(V54&gt;0,"Yes","No")</x:f>
        <x:v>Yes</x:v>
      </x:c>
      <x:c r="X54" s="52" t="str">
        <x:v>recurring major-event service plan; fleet and stabling readiness</x:v>
      </x:c>
      <x:c r="Y54" s="52" t="str">
        <x:v>concept_only</x:v>
      </x:c>
      <x:c r="Z54" s="52" t="str">
        <x:v>planning_anchor ±25–100 m</x:v>
      </x:c>
      <x:c r="AA54" s="52" t="str">
        <x:v>engineering_assumption</x:v>
      </x:c>
      <x:c r="AB54" s="52" t="str">
        <x:v>https://attstadium.com/stadium-info/parking/</x:v>
      </x:c>
    </x:row>
    <x:row r="55">
      <x:c r="A55" s="52" t="str">
        <x:v>dallas-buslane-TMP</x:v>
      </x:c>
      <x:c r="B55" s="52" t="n">
        <x:v>3</x:v>
      </x:c>
      <x:c r="C55" s="52" t="str">
        <x:v>dallas</x:v>
      </x:c>
      <x:c r="D55" s="52" t="str">
        <x:v>Dallas</x:v>
      </x:c>
      <x:c r="E55" s="52" t="str">
        <x:v>buslane</x:v>
      </x:c>
      <x:c r="F55" s="52" t="str">
        <x:v>Transit-priority lanes</x:v>
      </x:c>
      <x:c r="G55" s="52" t="str">
        <x:v>temporary</x:v>
      </x:c>
      <x:c r="H55" s="52" t="str">
        <x:v>dal-miller-litehouse</x:v>
      </x:c>
      <x:c r="I55" s="52" t="str">
        <x:v>DAL-MLH</x:v>
      </x:c>
      <x:c r="J55" s="52" t="str">
        <x:v>Miller LiteHouse pickup at North Collins Street and Cowboys Way</x:v>
      </x:c>
      <x:c r="K55" s="53" t="n">
        <x:v>32.7506</x:v>
      </x:c>
      <x:c r="L55" s="53" t="n">
        <x:v>-97.0915</x:v>
      </x:c>
      <x:c r="M55" s="56" t="n">
        <x:v>350</x:v>
      </x:c>
      <x:c r="N55" s="56" t="str">
        <x:v>line_extrusion</x:v>
      </x:c>
      <x:c r="O55" s="56" t="n">
        <x:v>3200</x:v>
      </x:c>
      <x:c r="P55" s="56" t="n">
        <x:v>3.5</x:v>
      </x:c>
      <x:c r="Q55" s="56" t="n">
        <x:v>0.1</x:v>
      </x:c>
      <x:c r="R55" s="56" t="n">
        <x:v>104</x:v>
      </x:c>
      <x:c r="S55" s="56" t="n">
        <x:v>0.05</x:v>
      </x:c>
      <x:c r="T55" s="52" t="str">
        <x:v>#F59E0B</x:v>
      </x:c>
      <x:c r="U55" s="55" t="n">
        <x:v>0.55</x:v>
      </x:c>
      <x:c r="V55" s="58" t="n">
        <x:f>'Funding Categories'!L32</x:f>
        <x:v>648000</x:v>
      </x:c>
      <x:c r="W55" s="52" t="str">
        <x:f>IF(V55&gt;0,"Yes","No")</x:f>
        <x:v>Yes</x:v>
      </x:c>
      <x:c r="X55" s="52" t="str">
        <x:v>cone- and paint-defined bus lane with enforcement</x:v>
      </x:c>
      <x:c r="Y55" s="52" t="str">
        <x:v>concept_only</x:v>
      </x:c>
      <x:c r="Z55" s="52" t="str">
        <x:v>planning_anchor ±25–100 m</x:v>
      </x:c>
      <x:c r="AA55" s="52" t="str">
        <x:v>engineering_assumption</x:v>
      </x:c>
      <x:c r="AB55" s="52" t="str">
        <x:v>https://attstadium.com/stadium-info/parking/</x:v>
      </x:c>
    </x:row>
    <x:row r="56">
      <x:c r="A56" s="52" t="str">
        <x:v>dallas-buslane-PERM</x:v>
      </x:c>
      <x:c r="B56" s="52" t="n">
        <x:v>3</x:v>
      </x:c>
      <x:c r="C56" s="52" t="str">
        <x:v>dallas</x:v>
      </x:c>
      <x:c r="D56" s="52" t="str">
        <x:v>Dallas</x:v>
      </x:c>
      <x:c r="E56" s="52" t="str">
        <x:v>buslane</x:v>
      </x:c>
      <x:c r="F56" s="52" t="str">
        <x:v>Transit-priority lanes</x:v>
      </x:c>
      <x:c r="G56" s="52" t="str">
        <x:v>permanent</x:v>
      </x:c>
      <x:c r="H56" s="52" t="str">
        <x:v>dal-miller-litehouse</x:v>
      </x:c>
      <x:c r="I56" s="52" t="str">
        <x:v>DAL-MLH</x:v>
      </x:c>
      <x:c r="J56" s="52" t="str">
        <x:v>Miller LiteHouse pickup at North Collins Street and Cowboys Way</x:v>
      </x:c>
      <x:c r="K56" s="53" t="n">
        <x:v>32.7506</x:v>
      </x:c>
      <x:c r="L56" s="53" t="n">
        <x:v>-97.0915</x:v>
      </x:c>
      <x:c r="M56" s="56" t="n">
        <x:v>350</x:v>
      </x:c>
      <x:c r="N56" s="56" t="str">
        <x:v>line_extrusion</x:v>
      </x:c>
      <x:c r="O56" s="56" t="n">
        <x:v>3200</x:v>
      </x:c>
      <x:c r="P56" s="56" t="n">
        <x:v>3.5</x:v>
      </x:c>
      <x:c r="Q56" s="56" t="n">
        <x:v>0.1</x:v>
      </x:c>
      <x:c r="R56" s="56" t="n">
        <x:v>111</x:v>
      </x:c>
      <x:c r="S56" s="56" t="n">
        <x:v>0.1</x:v>
      </x:c>
      <x:c r="T56" s="52" t="str">
        <x:v>#2563EB</x:v>
      </x:c>
      <x:c r="U56" s="55" t="n">
        <x:v>0.85</x:v>
      </x:c>
      <x:c r="V56" s="58" t="n">
        <x:f>'Funding Categories'!M32</x:f>
        <x:v>792000</x:v>
      </x:c>
      <x:c r="W56" s="52" t="str">
        <x:f>IF(V56&gt;0,"Yes","No")</x:f>
        <x:v>Yes</x:v>
      </x:c>
      <x:c r="X56" s="52" t="str">
        <x:v>dedicated or peak-period transit-priority lane</x:v>
      </x:c>
      <x:c r="Y56" s="52" t="str">
        <x:v>concept_only</x:v>
      </x:c>
      <x:c r="Z56" s="52" t="str">
        <x:v>planning_anchor ±25–100 m</x:v>
      </x:c>
      <x:c r="AA56" s="52" t="str">
        <x:v>engineering_assumption</x:v>
      </x:c>
      <x:c r="AB56" s="52" t="str">
        <x:v>https://attstadium.com/stadium-info/parking/</x:v>
      </x:c>
    </x:row>
    <x:row r="57">
      <x:c r="A57" s="52" t="str">
        <x:v>dallas-signals-TMP</x:v>
      </x:c>
      <x:c r="B57" s="52" t="n">
        <x:v>3</x:v>
      </x:c>
      <x:c r="C57" s="52" t="str">
        <x:v>dallas</x:v>
      </x:c>
      <x:c r="D57" s="52" t="str">
        <x:v>Dallas</x:v>
      </x:c>
      <x:c r="E57" s="52" t="str">
        <x:v>signals</x:v>
      </x:c>
      <x:c r="F57" s="52" t="str">
        <x:v>Signal timing plans</x:v>
      </x:c>
      <x:c r="G57" s="52" t="str">
        <x:v>temporary</x:v>
      </x:c>
      <x:c r="H57" s="52" t="str">
        <x:v>dal-miller-litehouse</x:v>
      </x:c>
      <x:c r="I57" s="52" t="str">
        <x:v>DAL-MLH</x:v>
      </x:c>
      <x:c r="J57" s="52" t="str">
        <x:v>Miller LiteHouse pickup at North Collins Street and Cowboys Way</x:v>
      </x:c>
      <x:c r="K57" s="53" t="n">
        <x:v>32.7506</x:v>
      </x:c>
      <x:c r="L57" s="53" t="n">
        <x:v>-97.0915</x:v>
      </x:c>
      <x:c r="M57" s="56" t="n">
        <x:v>350</x:v>
      </x:c>
      <x:c r="N57" s="56" t="str">
        <x:v>point_model</x:v>
      </x:c>
      <x:c r="O57" s="56" t="n">
        <x:v>1</x:v>
      </x:c>
      <x:c r="P57" s="56" t="n">
        <x:v>1</x:v>
      </x:c>
      <x:c r="Q57" s="56" t="n">
        <x:v>3</x:v>
      </x:c>
      <x:c r="R57" s="56" t="n">
        <x:v>121</x:v>
      </x:c>
      <x:c r="S57" s="56" t="n">
        <x:v>0.05</x:v>
      </x:c>
      <x:c r="T57" s="52" t="str">
        <x:v>#F59E0B</x:v>
      </x:c>
      <x:c r="U57" s="55" t="n">
        <x:v>0.55</x:v>
      </x:c>
      <x:c r="V57" s="58" t="n">
        <x:f>'Funding Categories'!L33</x:f>
        <x:v>90000</x:v>
      </x:c>
      <x:c r="W57" s="52" t="str">
        <x:f>IF(V57&gt;0,"Yes","No")</x:f>
        <x:v>Yes</x:v>
      </x:c>
      <x:c r="X57" s="52" t="str">
        <x:v>police/manual traffic control and temporary timing plan</x:v>
      </x:c>
      <x:c r="Y57" s="52" t="str">
        <x:v>concept_only</x:v>
      </x:c>
      <x:c r="Z57" s="52" t="str">
        <x:v>planning_anchor ±25–100 m</x:v>
      </x:c>
      <x:c r="AA57" s="52" t="str">
        <x:v>engineering_assumption</x:v>
      </x:c>
      <x:c r="AB57" s="52" t="str">
        <x:v>https://attstadium.com/stadium-info/parking/</x:v>
      </x:c>
    </x:row>
    <x:row r="58">
      <x:c r="A58" s="52" t="str">
        <x:v>dallas-signals-PERM</x:v>
      </x:c>
      <x:c r="B58" s="52" t="n">
        <x:v>3</x:v>
      </x:c>
      <x:c r="C58" s="52" t="str">
        <x:v>dallas</x:v>
      </x:c>
      <x:c r="D58" s="52" t="str">
        <x:v>Dallas</x:v>
      </x:c>
      <x:c r="E58" s="52" t="str">
        <x:v>signals</x:v>
      </x:c>
      <x:c r="F58" s="52" t="str">
        <x:v>Signal timing plans</x:v>
      </x:c>
      <x:c r="G58" s="52" t="str">
        <x:v>permanent</x:v>
      </x:c>
      <x:c r="H58" s="52" t="str">
        <x:v>dal-miller-litehouse</x:v>
      </x:c>
      <x:c r="I58" s="52" t="str">
        <x:v>DAL-MLH</x:v>
      </x:c>
      <x:c r="J58" s="52" t="str">
        <x:v>Miller LiteHouse pickup at North Collins Street and Cowboys Way</x:v>
      </x:c>
      <x:c r="K58" s="53" t="n">
        <x:v>32.7506</x:v>
      </x:c>
      <x:c r="L58" s="53" t="n">
        <x:v>-97.0915</x:v>
      </x:c>
      <x:c r="M58" s="56" t="n">
        <x:v>350</x:v>
      </x:c>
      <x:c r="N58" s="56" t="str">
        <x:v>point_model</x:v>
      </x:c>
      <x:c r="O58" s="56" t="n">
        <x:v>1</x:v>
      </x:c>
      <x:c r="P58" s="56" t="n">
        <x:v>1</x:v>
      </x:c>
      <x:c r="Q58" s="56" t="n">
        <x:v>6</x:v>
      </x:c>
      <x:c r="R58" s="56" t="n">
        <x:v>128</x:v>
      </x:c>
      <x:c r="S58" s="56" t="n">
        <x:v>0.1</x:v>
      </x:c>
      <x:c r="T58" s="52" t="str">
        <x:v>#2563EB</x:v>
      </x:c>
      <x:c r="U58" s="55" t="n">
        <x:v>0.85</x:v>
      </x:c>
      <x:c r="V58" s="58" t="n">
        <x:f>'Funding Categories'!M33</x:f>
        <x:v>270000</x:v>
      </x:c>
      <x:c r="W58" s="52" t="str">
        <x:f>IF(V58&gt;0,"Yes","No")</x:f>
        <x:v>Yes</x:v>
      </x:c>
      <x:c r="X58" s="52" t="str">
        <x:v>adaptive controllers and transit signal priority</x:v>
      </x:c>
      <x:c r="Y58" s="52" t="str">
        <x:v>concept_only</x:v>
      </x:c>
      <x:c r="Z58" s="52" t="str">
        <x:v>planning_anchor ±25–100 m</x:v>
      </x:c>
      <x:c r="AA58" s="52" t="str">
        <x:v>engineering_assumption</x:v>
      </x:c>
      <x:c r="AB58" s="52" t="str">
        <x:v>https://attstadium.com/stadium-info/parking/</x:v>
      </x:c>
    </x:row>
    <x:row r="59">
      <x:c r="A59" s="52" t="str">
        <x:v>dallas-hub-TMP</x:v>
      </x:c>
      <x:c r="B59" s="52" t="n">
        <x:v>3</x:v>
      </x:c>
      <x:c r="C59" s="52" t="str">
        <x:v>dallas</x:v>
      </x:c>
      <x:c r="D59" s="52" t="str">
        <x:v>Dallas</x:v>
      </x:c>
      <x:c r="E59" s="52" t="str">
        <x:v>hub</x:v>
      </x:c>
      <x:c r="F59" s="52" t="str">
        <x:v>Hub-to-stadium shuttle package</x:v>
      </x:c>
      <x:c r="G59" s="52" t="str">
        <x:v>temporary</x:v>
      </x:c>
      <x:c r="H59" s="52" t="str">
        <x:v>dal-miller-litehouse</x:v>
      </x:c>
      <x:c r="I59" s="52" t="str">
        <x:v>DAL-MLH</x:v>
      </x:c>
      <x:c r="J59" s="52" t="str">
        <x:v>Miller LiteHouse pickup at North Collins Street and Cowboys Way</x:v>
      </x:c>
      <x:c r="K59" s="53" t="n">
        <x:v>32.7506</x:v>
      </x:c>
      <x:c r="L59" s="53" t="n">
        <x:v>-97.0915</x:v>
      </x:c>
      <x:c r="M59" s="56" t="n">
        <x:v>350</x:v>
      </x:c>
      <x:c r="N59" s="56" t="str">
        <x:v>polygon_extrusion</x:v>
      </x:c>
      <x:c r="O59" s="56" t="n">
        <x:v>90</x:v>
      </x:c>
      <x:c r="P59" s="56" t="n">
        <x:v>60</x:v>
      </x:c>
      <x:c r="Q59" s="56" t="n">
        <x:v>3</x:v>
      </x:c>
      <x:c r="R59" s="56" t="n">
        <x:v>138</x:v>
      </x:c>
      <x:c r="S59" s="56" t="n">
        <x:v>0.05</x:v>
      </x:c>
      <x:c r="T59" s="52" t="str">
        <x:v>#F59E0B</x:v>
      </x:c>
      <x:c r="U59" s="55" t="n">
        <x:v>0.55</x:v>
      </x:c>
      <x:c r="V59" s="58" t="n">
        <x:f>'Funding Categories'!L34</x:f>
        <x:v>900000</x:v>
      </x:c>
      <x:c r="W59" s="52" t="str">
        <x:f>IF(V59&gt;0,"Yes","No")</x:f>
        <x:v>Yes</x:v>
      </x:c>
      <x:c r="X59" s="52" t="str">
        <x:v>pop-up shuttle zone; temporary shelters and dispatch</x:v>
      </x:c>
      <x:c r="Y59" s="52" t="str">
        <x:v>concept_only</x:v>
      </x:c>
      <x:c r="Z59" s="52" t="str">
        <x:v>planning_anchor ±25–100 m</x:v>
      </x:c>
      <x:c r="AA59" s="52" t="str">
        <x:v>engineering_assumption</x:v>
      </x:c>
      <x:c r="AB59" s="52" t="str">
        <x:v>https://attstadium.com/stadium-info/parking/</x:v>
      </x:c>
    </x:row>
    <x:row r="60">
      <x:c r="A60" s="52" t="str">
        <x:v>dallas-hub-PERM</x:v>
      </x:c>
      <x:c r="B60" s="52" t="n">
        <x:v>3</x:v>
      </x:c>
      <x:c r="C60" s="52" t="str">
        <x:v>dallas</x:v>
      </x:c>
      <x:c r="D60" s="52" t="str">
        <x:v>Dallas</x:v>
      </x:c>
      <x:c r="E60" s="52" t="str">
        <x:v>hub</x:v>
      </x:c>
      <x:c r="F60" s="52" t="str">
        <x:v>Hub-to-stadium shuttle package</x:v>
      </x:c>
      <x:c r="G60" s="52" t="str">
        <x:v>permanent</x:v>
      </x:c>
      <x:c r="H60" s="52" t="str">
        <x:v>dal-miller-litehouse</x:v>
      </x:c>
      <x:c r="I60" s="52" t="str">
        <x:v>DAL-MLH</x:v>
      </x:c>
      <x:c r="J60" s="52" t="str">
        <x:v>Miller LiteHouse pickup at North Collins Street and Cowboys Way</x:v>
      </x:c>
      <x:c r="K60" s="53" t="n">
        <x:v>32.7506</x:v>
      </x:c>
      <x:c r="L60" s="53" t="n">
        <x:v>-97.0915</x:v>
      </x:c>
      <x:c r="M60" s="56" t="n">
        <x:v>350</x:v>
      </x:c>
      <x:c r="N60" s="56" t="str">
        <x:v>polygon_extrusion</x:v>
      </x:c>
      <x:c r="O60" s="56" t="n">
        <x:v>90</x:v>
      </x:c>
      <x:c r="P60" s="56" t="n">
        <x:v>60</x:v>
      </x:c>
      <x:c r="Q60" s="56" t="n">
        <x:v>6</x:v>
      </x:c>
      <x:c r="R60" s="56" t="n">
        <x:v>145</x:v>
      </x:c>
      <x:c r="S60" s="56" t="n">
        <x:v>0.1</x:v>
      </x:c>
      <x:c r="T60" s="52" t="str">
        <x:v>#2563EB</x:v>
      </x:c>
      <x:c r="U60" s="55" t="n">
        <x:v>0.85</x:v>
      </x:c>
      <x:c r="V60" s="58" t="n">
        <x:f>'Funding Categories'!M34</x:f>
        <x:v>1350000</x:v>
      </x:c>
      <x:c r="W60" s="52" t="str">
        <x:f>IF(V60&gt;0,"Yes","No")</x:f>
        <x:v>Yes</x:v>
      </x:c>
      <x:c r="X60" s="52" t="str">
        <x:v>permanent multimodal mobility hub</x:v>
      </x:c>
      <x:c r="Y60" s="52" t="str">
        <x:v>concept_only</x:v>
      </x:c>
      <x:c r="Z60" s="52" t="str">
        <x:v>planning_anchor ±25–100 m</x:v>
      </x:c>
      <x:c r="AA60" s="52" t="str">
        <x:v>engineering_assumption</x:v>
      </x:c>
      <x:c r="AB60" s="52" t="str">
        <x:v>https://attstadium.com/stadium-info/parking/</x:v>
      </x:c>
    </x:row>
    <x:row r="61">
      <x:c r="A61" s="52" t="str">
        <x:v>dallas-parkride-TMP</x:v>
      </x:c>
      <x:c r="B61" s="52" t="n">
        <x:v>3</x:v>
      </x:c>
      <x:c r="C61" s="52" t="str">
        <x:v>dallas</x:v>
      </x:c>
      <x:c r="D61" s="52" t="str">
        <x:v>Dallas</x:v>
      </x:c>
      <x:c r="E61" s="52" t="str">
        <x:v>parkride</x:v>
      </x:c>
      <x:c r="F61" s="52" t="str">
        <x:v>Park-and-ride package</x:v>
      </x:c>
      <x:c r="G61" s="52" t="str">
        <x:v>temporary</x:v>
      </x:c>
      <x:c r="H61" s="52" t="str">
        <x:v>dal-miller-litehouse</x:v>
      </x:c>
      <x:c r="I61" s="52" t="str">
        <x:v>DAL-MLH</x:v>
      </x:c>
      <x:c r="J61" s="52" t="str">
        <x:v>Miller LiteHouse pickup at North Collins Street and Cowboys Way</x:v>
      </x:c>
      <x:c r="K61" s="53" t="n">
        <x:v>32.7506</x:v>
      </x:c>
      <x:c r="L61" s="53" t="n">
        <x:v>-97.0915</x:v>
      </x:c>
      <x:c r="M61" s="56" t="n">
        <x:v>350</x:v>
      </x:c>
      <x:c r="N61" s="56" t="str">
        <x:v>polygon_extrusion</x:v>
      </x:c>
      <x:c r="O61" s="56" t="n">
        <x:v>220</x:v>
      </x:c>
      <x:c r="P61" s="56" t="n">
        <x:v>150</x:v>
      </x:c>
      <x:c r="Q61" s="56" t="n">
        <x:v>0.2</x:v>
      </x:c>
      <x:c r="R61" s="56" t="n">
        <x:v>155</x:v>
      </x:c>
      <x:c r="S61" s="56" t="n">
        <x:v>0.05</x:v>
      </x:c>
      <x:c r="T61" s="52" t="str">
        <x:v>#F59E0B</x:v>
      </x:c>
      <x:c r="U61" s="55" t="n">
        <x:v>0.55</x:v>
      </x:c>
      <x:c r="V61" s="58" t="n">
        <x:f>'Funding Categories'!L35</x:f>
        <x:v>450000</x:v>
      </x:c>
      <x:c r="W61" s="52" t="str">
        <x:f>IF(V61&gt;0,"Yes","No")</x:f>
        <x:v>Yes</x:v>
      </x:c>
      <x:c r="X61" s="52" t="str">
        <x:v>leased intercept lots and temporary signing</x:v>
      </x:c>
      <x:c r="Y61" s="52" t="str">
        <x:v>concept_only</x:v>
      </x:c>
      <x:c r="Z61" s="52" t="str">
        <x:v>planning_anchor ±25–100 m</x:v>
      </x:c>
      <x:c r="AA61" s="52" t="str">
        <x:v>engineering_assumption</x:v>
      </x:c>
      <x:c r="AB61" s="52" t="str">
        <x:v>https://attstadium.com/stadium-info/parking/</x:v>
      </x:c>
    </x:row>
    <x:row r="62">
      <x:c r="A62" s="52" t="str">
        <x:v>dallas-parkride-PERM</x:v>
      </x:c>
      <x:c r="B62" s="52" t="n">
        <x:v>3</x:v>
      </x:c>
      <x:c r="C62" s="52" t="str">
        <x:v>dallas</x:v>
      </x:c>
      <x:c r="D62" s="52" t="str">
        <x:v>Dallas</x:v>
      </x:c>
      <x:c r="E62" s="52" t="str">
        <x:v>parkride</x:v>
      </x:c>
      <x:c r="F62" s="52" t="str">
        <x:v>Park-and-ride package</x:v>
      </x:c>
      <x:c r="G62" s="52" t="str">
        <x:v>permanent</x:v>
      </x:c>
      <x:c r="H62" s="52" t="str">
        <x:v>dal-miller-litehouse</x:v>
      </x:c>
      <x:c r="I62" s="52" t="str">
        <x:v>DAL-MLH</x:v>
      </x:c>
      <x:c r="J62" s="52" t="str">
        <x:v>Miller LiteHouse pickup at North Collins Street and Cowboys Way</x:v>
      </x:c>
      <x:c r="K62" s="53" t="n">
        <x:v>32.7506</x:v>
      </x:c>
      <x:c r="L62" s="53" t="n">
        <x:v>-97.0915</x:v>
      </x:c>
      <x:c r="M62" s="56" t="n">
        <x:v>350</x:v>
      </x:c>
      <x:c r="N62" s="56" t="str">
        <x:v>polygon_extrusion</x:v>
      </x:c>
      <x:c r="O62" s="56" t="n">
        <x:v>220</x:v>
      </x:c>
      <x:c r="P62" s="56" t="n">
        <x:v>150</x:v>
      </x:c>
      <x:c r="Q62" s="56" t="n">
        <x:v>0.2</x:v>
      </x:c>
      <x:c r="R62" s="56" t="n">
        <x:v>162</x:v>
      </x:c>
      <x:c r="S62" s="56" t="n">
        <x:v>0.1</x:v>
      </x:c>
      <x:c r="T62" s="52" t="str">
        <x:v>#2563EB</x:v>
      </x:c>
      <x:c r="U62" s="55" t="n">
        <x:v>0.85</x:v>
      </x:c>
      <x:c r="V62" s="58" t="n">
        <x:f>'Funding Categories'!M35</x:f>
        <x:v>450000</x:v>
      </x:c>
      <x:c r="W62" s="52" t="str">
        <x:f>IF(V62&gt;0,"Yes","No")</x:f>
        <x:v>Yes</x:v>
      </x:c>
      <x:c r="X62" s="52" t="str">
        <x:v>permanent park-and-ride with charging and transit access</x:v>
      </x:c>
      <x:c r="Y62" s="52" t="str">
        <x:v>concept_only</x:v>
      </x:c>
      <x:c r="Z62" s="52" t="str">
        <x:v>planning_anchor ±25–100 m</x:v>
      </x:c>
      <x:c r="AA62" s="52" t="str">
        <x:v>engineering_assumption</x:v>
      </x:c>
      <x:c r="AB62" s="52" t="str">
        <x:v>https://attstadium.com/stadium-info/parking/</x:v>
      </x:c>
    </x:row>
    <x:row r="63">
      <x:c r="A63" s="52" t="str">
        <x:v>dallas-ped-TMP</x:v>
      </x:c>
      <x:c r="B63" s="52" t="n">
        <x:v>3</x:v>
      </x:c>
      <x:c r="C63" s="52" t="str">
        <x:v>dallas</x:v>
      </x:c>
      <x:c r="D63" s="52" t="str">
        <x:v>Dallas</x:v>
      </x:c>
      <x:c r="E63" s="52" t="str">
        <x:v>ped</x:v>
      </x:c>
      <x:c r="F63" s="52" t="str">
        <x:v>Protected pedestrian corridor</x:v>
      </x:c>
      <x:c r="G63" s="52" t="str">
        <x:v>temporary</x:v>
      </x:c>
      <x:c r="H63" s="52" t="str">
        <x:v>dal-att-way-east-plaza</x:v>
      </x:c>
      <x:c r="I63" s="52" t="str">
        <x:v>DAL-EPL</x:v>
      </x:c>
      <x:c r="J63" s="52" t="str">
        <x:v>AT&amp;T Way east plaza approach</x:v>
      </x:c>
      <x:c r="K63" s="53" t="n">
        <x:v>32.7479</x:v>
      </x:c>
      <x:c r="L63" s="53" t="n">
        <x:v>-97.0909</x:v>
      </x:c>
      <x:c r="M63" s="56" t="n">
        <x:v>300</x:v>
      </x:c>
      <x:c r="N63" s="56" t="str">
        <x:v>line_extrusion</x:v>
      </x:c>
      <x:c r="O63" s="56" t="n">
        <x:v>1600</x:v>
      </x:c>
      <x:c r="P63" s="56" t="n">
        <x:v>6</x:v>
      </x:c>
      <x:c r="Q63" s="56" t="n">
        <x:v>0.15</x:v>
      </x:c>
      <x:c r="R63" s="56" t="n">
        <x:v>172</x:v>
      </x:c>
      <x:c r="S63" s="56" t="n">
        <x:v>0.05</x:v>
      </x:c>
      <x:c r="T63" s="52" t="str">
        <x:v>#F59E0B</x:v>
      </x:c>
      <x:c r="U63" s="55" t="n">
        <x:v>0.55</x:v>
      </x:c>
      <x:c r="V63" s="58" t="n">
        <x:f>'Funding Categories'!L36</x:f>
        <x:v>0</x:v>
      </x:c>
      <x:c r="W63" s="52" t="str">
        <x:f>IF(V63&gt;0,"Yes","No")</x:f>
        <x:v>No</x:v>
      </x:c>
      <x:c r="X63" s="52" t="str">
        <x:v>barricaded protected corridor; marshals and lighting</x:v>
      </x:c>
      <x:c r="Y63" s="52" t="str">
        <x:v>concept_only</x:v>
      </x:c>
      <x:c r="Z63" s="52" t="str">
        <x:v>planning_anchor ±25–100 m</x:v>
      </x:c>
      <x:c r="AA63" s="52" t="str">
        <x:v>engineering_assumption</x:v>
      </x:c>
      <x:c r="AB63" s="52" t="str">
        <x:v>https://attstadium.com/stadium-info/parking/</x:v>
      </x:c>
    </x:row>
    <x:row r="64">
      <x:c r="A64" s="52" t="str">
        <x:v>dallas-ped-PERM</x:v>
      </x:c>
      <x:c r="B64" s="52" t="n">
        <x:v>3</x:v>
      </x:c>
      <x:c r="C64" s="52" t="str">
        <x:v>dallas</x:v>
      </x:c>
      <x:c r="D64" s="52" t="str">
        <x:v>Dallas</x:v>
      </x:c>
      <x:c r="E64" s="52" t="str">
        <x:v>ped</x:v>
      </x:c>
      <x:c r="F64" s="52" t="str">
        <x:v>Protected pedestrian corridor</x:v>
      </x:c>
      <x:c r="G64" s="52" t="str">
        <x:v>permanent</x:v>
      </x:c>
      <x:c r="H64" s="52" t="str">
        <x:v>dal-att-way-east-plaza</x:v>
      </x:c>
      <x:c r="I64" s="52" t="str">
        <x:v>DAL-EPL</x:v>
      </x:c>
      <x:c r="J64" s="52" t="str">
        <x:v>AT&amp;T Way east plaza approach</x:v>
      </x:c>
      <x:c r="K64" s="53" t="n">
        <x:v>32.7479</x:v>
      </x:c>
      <x:c r="L64" s="53" t="n">
        <x:v>-97.0909</x:v>
      </x:c>
      <x:c r="M64" s="56" t="n">
        <x:v>300</x:v>
      </x:c>
      <x:c r="N64" s="56" t="str">
        <x:v>line_extrusion</x:v>
      </x:c>
      <x:c r="O64" s="56" t="n">
        <x:v>1600</x:v>
      </x:c>
      <x:c r="P64" s="56" t="n">
        <x:v>6</x:v>
      </x:c>
      <x:c r="Q64" s="56" t="n">
        <x:v>0.15</x:v>
      </x:c>
      <x:c r="R64" s="56" t="n">
        <x:v>179</x:v>
      </x:c>
      <x:c r="S64" s="56" t="n">
        <x:v>0.1</x:v>
      </x:c>
      <x:c r="T64" s="52" t="str">
        <x:v>#0F766E</x:v>
      </x:c>
      <x:c r="U64" s="55" t="n">
        <x:v>0.85</x:v>
      </x:c>
      <x:c r="V64" s="58" t="n">
        <x:f>'Funding Categories'!M36</x:f>
        <x:v>0</x:v>
      </x:c>
      <x:c r="W64" s="52" t="str">
        <x:f>IF(V64&gt;0,"Yes","No")</x:f>
        <x:v>No</x:v>
      </x:c>
      <x:c r="X64" s="52" t="str">
        <x:v>widened sidewalk; lighting; drainage and separation</x:v>
      </x:c>
      <x:c r="Y64" s="52" t="str">
        <x:v>concept_only</x:v>
      </x:c>
      <x:c r="Z64" s="52" t="str">
        <x:v>planning_anchor ±25–100 m</x:v>
      </x:c>
      <x:c r="AA64" s="52" t="str">
        <x:v>engineering_assumption</x:v>
      </x:c>
      <x:c r="AB64" s="52" t="str">
        <x:v>https://attstadium.com/stadium-info/parking/</x:v>
      </x:c>
    </x:row>
    <x:row r="65">
      <x:c r="A65" s="52" t="str">
        <x:v>dallas-bike-TMP</x:v>
      </x:c>
      <x:c r="B65" s="52" t="n">
        <x:v>3</x:v>
      </x:c>
      <x:c r="C65" s="52" t="str">
        <x:v>dallas</x:v>
      </x:c>
      <x:c r="D65" s="52" t="str">
        <x:v>Dallas</x:v>
      </x:c>
      <x:c r="E65" s="52" t="str">
        <x:v>bike</x:v>
      </x:c>
      <x:c r="F65" s="52" t="str">
        <x:v>Protected bicycle access</x:v>
      </x:c>
      <x:c r="G65" s="52" t="str">
        <x:v>temporary</x:v>
      </x:c>
      <x:c r="H65" s="52" t="str">
        <x:v>dal-att-way-east-plaza</x:v>
      </x:c>
      <x:c r="I65" s="52" t="str">
        <x:v>DAL-EPL</x:v>
      </x:c>
      <x:c r="J65" s="52" t="str">
        <x:v>AT&amp;T Way east plaza approach</x:v>
      </x:c>
      <x:c r="K65" s="53" t="n">
        <x:v>32.7479</x:v>
      </x:c>
      <x:c r="L65" s="53" t="n">
        <x:v>-97.0909</x:v>
      </x:c>
      <x:c r="M65" s="56" t="n">
        <x:v>300</x:v>
      </x:c>
      <x:c r="N65" s="56" t="str">
        <x:v>line_extrusion</x:v>
      </x:c>
      <x:c r="O65" s="56" t="n">
        <x:v>3200</x:v>
      </x:c>
      <x:c r="P65" s="56" t="n">
        <x:v>3</x:v>
      </x:c>
      <x:c r="Q65" s="56" t="n">
        <x:v>0.1</x:v>
      </x:c>
      <x:c r="R65" s="56" t="n">
        <x:v>189</x:v>
      </x:c>
      <x:c r="S65" s="56" t="n">
        <x:v>0.05</x:v>
      </x:c>
      <x:c r="T65" s="52" t="str">
        <x:v>#F59E0B</x:v>
      </x:c>
      <x:c r="U65" s="55" t="n">
        <x:v>0.55</x:v>
      </x:c>
      <x:c r="V65" s="58" t="n">
        <x:f>'Funding Categories'!L37</x:f>
        <x:v>0</x:v>
      </x:c>
      <x:c r="W65" s="52" t="str">
        <x:f>IF(V65&gt;0,"Yes","No")</x:f>
        <x:v>No</x:v>
      </x:c>
      <x:c r="X65" s="52" t="str">
        <x:v>pop-up protected lane and attended bike valet</x:v>
      </x:c>
      <x:c r="Y65" s="52" t="str">
        <x:v>concept_only</x:v>
      </x:c>
      <x:c r="Z65" s="52" t="str">
        <x:v>planning_anchor ±25–100 m</x:v>
      </x:c>
      <x:c r="AA65" s="52" t="str">
        <x:v>engineering_assumption</x:v>
      </x:c>
      <x:c r="AB65" s="52" t="str">
        <x:v>https://attstadium.com/stadium-info/parking/</x:v>
      </x:c>
    </x:row>
    <x:row r="66">
      <x:c r="A66" s="52" t="str">
        <x:v>dallas-bike-PERM</x:v>
      </x:c>
      <x:c r="B66" s="52" t="n">
        <x:v>3</x:v>
      </x:c>
      <x:c r="C66" s="52" t="str">
        <x:v>dallas</x:v>
      </x:c>
      <x:c r="D66" s="52" t="str">
        <x:v>Dallas</x:v>
      </x:c>
      <x:c r="E66" s="52" t="str">
        <x:v>bike</x:v>
      </x:c>
      <x:c r="F66" s="52" t="str">
        <x:v>Protected bicycle access</x:v>
      </x:c>
      <x:c r="G66" s="52" t="str">
        <x:v>permanent</x:v>
      </x:c>
      <x:c r="H66" s="52" t="str">
        <x:v>dal-att-way-east-plaza</x:v>
      </x:c>
      <x:c r="I66" s="52" t="str">
        <x:v>DAL-EPL</x:v>
      </x:c>
      <x:c r="J66" s="52" t="str">
        <x:v>AT&amp;T Way east plaza approach</x:v>
      </x:c>
      <x:c r="K66" s="53" t="n">
        <x:v>32.7479</x:v>
      </x:c>
      <x:c r="L66" s="53" t="n">
        <x:v>-97.0909</x:v>
      </x:c>
      <x:c r="M66" s="56" t="n">
        <x:v>300</x:v>
      </x:c>
      <x:c r="N66" s="56" t="str">
        <x:v>line_extrusion</x:v>
      </x:c>
      <x:c r="O66" s="56" t="n">
        <x:v>3200</x:v>
      </x:c>
      <x:c r="P66" s="56" t="n">
        <x:v>3</x:v>
      </x:c>
      <x:c r="Q66" s="56" t="n">
        <x:v>0.1</x:v>
      </x:c>
      <x:c r="R66" s="56" t="n">
        <x:v>196</x:v>
      </x:c>
      <x:c r="S66" s="56" t="n">
        <x:v>0.1</x:v>
      </x:c>
      <x:c r="T66" s="52" t="str">
        <x:v>#0F766E</x:v>
      </x:c>
      <x:c r="U66" s="55" t="n">
        <x:v>0.85</x:v>
      </x:c>
      <x:c r="V66" s="58" t="n">
        <x:f>'Funding Categories'!M37</x:f>
        <x:v>0</x:v>
      </x:c>
      <x:c r="W66" s="52" t="str">
        <x:f>IF(V66&gt;0,"Yes","No")</x:f>
        <x:v>No</x:v>
      </x:c>
      <x:c r="X66" s="52" t="str">
        <x:v>protected bikeway and secure long-term parking</x:v>
      </x:c>
      <x:c r="Y66" s="52" t="str">
        <x:v>concept_only</x:v>
      </x:c>
      <x:c r="Z66" s="52" t="str">
        <x:v>planning_anchor ±25–100 m</x:v>
      </x:c>
      <x:c r="AA66" s="52" t="str">
        <x:v>engineering_assumption</x:v>
      </x:c>
      <x:c r="AB66" s="52" t="str">
        <x:v>https://attstadium.com/stadium-info/parking/</x:v>
      </x:c>
    </x:row>
    <x:row r="67">
      <x:c r="A67" s="52" t="str">
        <x:v>dallas-tnc-TMP</x:v>
      </x:c>
      <x:c r="B67" s="52" t="n">
        <x:v>3</x:v>
      </x:c>
      <x:c r="C67" s="52" t="str">
        <x:v>dallas</x:v>
      </x:c>
      <x:c r="D67" s="52" t="str">
        <x:v>Dallas</x:v>
      </x:c>
      <x:c r="E67" s="52" t="str">
        <x:v>tnc</x:v>
      </x:c>
      <x:c r="F67" s="52" t="str">
        <x:v>Managed rideshare hub</x:v>
      </x:c>
      <x:c r="G67" s="52" t="str">
        <x:v>temporary</x:v>
      </x:c>
      <x:c r="H67" s="52" t="str">
        <x:v>dal-miller-litehouse</x:v>
      </x:c>
      <x:c r="I67" s="52" t="str">
        <x:v>DAL-MLH</x:v>
      </x:c>
      <x:c r="J67" s="52" t="str">
        <x:v>Miller LiteHouse pickup at North Collins Street and Cowboys Way</x:v>
      </x:c>
      <x:c r="K67" s="53" t="n">
        <x:v>32.7506</x:v>
      </x:c>
      <x:c r="L67" s="53" t="n">
        <x:v>-97.0915</x:v>
      </x:c>
      <x:c r="M67" s="56" t="n">
        <x:v>350</x:v>
      </x:c>
      <x:c r="N67" s="56" t="str">
        <x:v>polygon_extrusion</x:v>
      </x:c>
      <x:c r="O67" s="56" t="n">
        <x:v>70</x:v>
      </x:c>
      <x:c r="P67" s="56" t="n">
        <x:v>45</x:v>
      </x:c>
      <x:c r="Q67" s="56" t="n">
        <x:v>0.2</x:v>
      </x:c>
      <x:c r="R67" s="56" t="n">
        <x:v>206</x:v>
      </x:c>
      <x:c r="S67" s="56" t="n">
        <x:v>0.05</x:v>
      </x:c>
      <x:c r="T67" s="52" t="str">
        <x:v>#F59E0B</x:v>
      </x:c>
      <x:c r="U67" s="55" t="n">
        <x:v>0.55</x:v>
      </x:c>
      <x:c r="V67" s="58" t="n">
        <x:f>'Funding Categories'!L38</x:f>
        <x:v>600000</x:v>
      </x:c>
      <x:c r="W67" s="52" t="str">
        <x:f>IF(V67&gt;0,"Yes","No")</x:f>
        <x:v>Yes</x:v>
      </x:c>
      <x:c r="X67" s="52" t="str">
        <x:v>staffed geofenced pickup with temporary lane control</x:v>
      </x:c>
      <x:c r="Y67" s="52" t="str">
        <x:v>concept_only</x:v>
      </x:c>
      <x:c r="Z67" s="52" t="str">
        <x:v>planning_anchor ±25–100 m</x:v>
      </x:c>
      <x:c r="AA67" s="52" t="str">
        <x:v>engineering_assumption</x:v>
      </x:c>
      <x:c r="AB67" s="52" t="str">
        <x:v>https://attstadium.com/stadium-info/parking/</x:v>
      </x:c>
    </x:row>
    <x:row r="68">
      <x:c r="A68" s="52" t="str">
        <x:v>dallas-tnc-PERM</x:v>
      </x:c>
      <x:c r="B68" s="52" t="n">
        <x:v>3</x:v>
      </x:c>
      <x:c r="C68" s="52" t="str">
        <x:v>dallas</x:v>
      </x:c>
      <x:c r="D68" s="52" t="str">
        <x:v>Dallas</x:v>
      </x:c>
      <x:c r="E68" s="52" t="str">
        <x:v>tnc</x:v>
      </x:c>
      <x:c r="F68" s="52" t="str">
        <x:v>Managed rideshare hub</x:v>
      </x:c>
      <x:c r="G68" s="52" t="str">
        <x:v>permanent</x:v>
      </x:c>
      <x:c r="H68" s="52" t="str">
        <x:v>dal-miller-litehouse</x:v>
      </x:c>
      <x:c r="I68" s="52" t="str">
        <x:v>DAL-MLH</x:v>
      </x:c>
      <x:c r="J68" s="52" t="str">
        <x:v>Miller LiteHouse pickup at North Collins Street and Cowboys Way</x:v>
      </x:c>
      <x:c r="K68" s="53" t="n">
        <x:v>32.7506</x:v>
      </x:c>
      <x:c r="L68" s="53" t="n">
        <x:v>-97.0915</x:v>
      </x:c>
      <x:c r="M68" s="56" t="n">
        <x:v>350</x:v>
      </x:c>
      <x:c r="N68" s="56" t="str">
        <x:v>polygon_extrusion</x:v>
      </x:c>
      <x:c r="O68" s="56" t="n">
        <x:v>70</x:v>
      </x:c>
      <x:c r="P68" s="56" t="n">
        <x:v>45</x:v>
      </x:c>
      <x:c r="Q68" s="56" t="n">
        <x:v>0.2</x:v>
      </x:c>
      <x:c r="R68" s="56" t="n">
        <x:v>213</x:v>
      </x:c>
      <x:c r="S68" s="56" t="n">
        <x:v>0.1</x:v>
      </x:c>
      <x:c r="T68" s="52" t="str">
        <x:v>#2563EB</x:v>
      </x:c>
      <x:c r="U68" s="55" t="n">
        <x:v>0.85</x:v>
      </x:c>
      <x:c r="V68" s="58" t="n">
        <x:f>'Funding Categories'!M38</x:f>
        <x:v>600000</x:v>
      </x:c>
      <x:c r="W68" s="52" t="str">
        <x:f>IF(V68&gt;0,"Yes","No")</x:f>
        <x:v>Yes</x:v>
      </x:c>
      <x:c r="X68" s="52" t="str">
        <x:v>off-street rideshare hub with accessible bays</x:v>
      </x:c>
      <x:c r="Y68" s="52" t="str">
        <x:v>concept_only</x:v>
      </x:c>
      <x:c r="Z68" s="52" t="str">
        <x:v>planning_anchor ±25–100 m</x:v>
      </x:c>
      <x:c r="AA68" s="52" t="str">
        <x:v>engineering_assumption</x:v>
      </x:c>
      <x:c r="AB68" s="52" t="str">
        <x:v>https://attstadium.com/stadium-info/parking/</x:v>
      </x:c>
    </x:row>
    <x:row r="69">
      <x:c r="A69" s="52" t="str">
        <x:v>dallas-wayfinding-TMP</x:v>
      </x:c>
      <x:c r="B69" s="52" t="n">
        <x:v>3</x:v>
      </x:c>
      <x:c r="C69" s="52" t="str">
        <x:v>dallas</x:v>
      </x:c>
      <x:c r="D69" s="52" t="str">
        <x:v>Dallas</x:v>
      </x:c>
      <x:c r="E69" s="52" t="str">
        <x:v>wayfinding</x:v>
      </x:c>
      <x:c r="F69" s="52" t="str">
        <x:v>Multilingual wayfinding</x:v>
      </x:c>
      <x:c r="G69" s="52" t="str">
        <x:v>temporary</x:v>
      </x:c>
      <x:c r="H69" s="52" t="str">
        <x:v>dal-att-way-east-plaza</x:v>
      </x:c>
      <x:c r="I69" s="52" t="str">
        <x:v>DAL-EPL</x:v>
      </x:c>
      <x:c r="J69" s="52" t="str">
        <x:v>AT&amp;T Way east plaza approach</x:v>
      </x:c>
      <x:c r="K69" s="53" t="n">
        <x:v>32.7479</x:v>
      </x:c>
      <x:c r="L69" s="53" t="n">
        <x:v>-97.0909</x:v>
      </x:c>
      <x:c r="M69" s="56" t="n">
        <x:v>300</x:v>
      </x:c>
      <x:c r="N69" s="56" t="str">
        <x:v>point_model</x:v>
      </x:c>
      <x:c r="O69" s="56" t="n">
        <x:v>1</x:v>
      </x:c>
      <x:c r="P69" s="56" t="n">
        <x:v>1</x:v>
      </x:c>
      <x:c r="Q69" s="56" t="n">
        <x:v>2.5</x:v>
      </x:c>
      <x:c r="R69" s="56" t="n">
        <x:v>223</x:v>
      </x:c>
      <x:c r="S69" s="56" t="n">
        <x:v>0.05</x:v>
      </x:c>
      <x:c r="T69" s="52" t="str">
        <x:v>#F59E0B</x:v>
      </x:c>
      <x:c r="U69" s="55" t="n">
        <x:v>0.55</x:v>
      </x:c>
      <x:c r="V69" s="58" t="n">
        <x:f>'Funding Categories'!L39</x:f>
        <x:v>0</x:v>
      </x:c>
      <x:c r="W69" s="52" t="str">
        <x:f>IF(V69&gt;0,"Yes","No")</x:f>
        <x:v>No</x:v>
      </x:c>
      <x:c r="X69" s="52" t="str">
        <x:v>portable signs; digital messages; multilingual ambassadors</x:v>
      </x:c>
      <x:c r="Y69" s="52" t="str">
        <x:v>concept_only</x:v>
      </x:c>
      <x:c r="Z69" s="52" t="str">
        <x:v>planning_anchor ±25–100 m</x:v>
      </x:c>
      <x:c r="AA69" s="52" t="str">
        <x:v>engineering_assumption</x:v>
      </x:c>
      <x:c r="AB69" s="52" t="str">
        <x:v>https://attstadium.com/stadium-info/parking/</x:v>
      </x:c>
    </x:row>
    <x:row r="70">
      <x:c r="A70" s="52" t="str">
        <x:v>dallas-wayfinding-PERM</x:v>
      </x:c>
      <x:c r="B70" s="52" t="n">
        <x:v>3</x:v>
      </x:c>
      <x:c r="C70" s="52" t="str">
        <x:v>dallas</x:v>
      </x:c>
      <x:c r="D70" s="52" t="str">
        <x:v>Dallas</x:v>
      </x:c>
      <x:c r="E70" s="52" t="str">
        <x:v>wayfinding</x:v>
      </x:c>
      <x:c r="F70" s="52" t="str">
        <x:v>Multilingual wayfinding</x:v>
      </x:c>
      <x:c r="G70" s="52" t="str">
        <x:v>permanent</x:v>
      </x:c>
      <x:c r="H70" s="52" t="str">
        <x:v>dal-att-way-east-plaza</x:v>
      </x:c>
      <x:c r="I70" s="52" t="str">
        <x:v>DAL-EPL</x:v>
      </x:c>
      <x:c r="J70" s="52" t="str">
        <x:v>AT&amp;T Way east plaza approach</x:v>
      </x:c>
      <x:c r="K70" s="53" t="n">
        <x:v>32.7479</x:v>
      </x:c>
      <x:c r="L70" s="53" t="n">
        <x:v>-97.0909</x:v>
      </x:c>
      <x:c r="M70" s="56" t="n">
        <x:v>300</x:v>
      </x:c>
      <x:c r="N70" s="56" t="str">
        <x:v>point_model</x:v>
      </x:c>
      <x:c r="O70" s="56" t="n">
        <x:v>1</x:v>
      </x:c>
      <x:c r="P70" s="56" t="n">
        <x:v>1</x:v>
      </x:c>
      <x:c r="Q70" s="56" t="n">
        <x:v>4</x:v>
      </x:c>
      <x:c r="R70" s="56" t="n">
        <x:v>230</x:v>
      </x:c>
      <x:c r="S70" s="56" t="n">
        <x:v>0.1</x:v>
      </x:c>
      <x:c r="T70" s="52" t="str">
        <x:v>#2563EB</x:v>
      </x:c>
      <x:c r="U70" s="55" t="n">
        <x:v>0.85</x:v>
      </x:c>
      <x:c r="V70" s="58" t="n">
        <x:f>'Funding Categories'!M39</x:f>
        <x:v>0</x:v>
      </x:c>
      <x:c r="W70" s="52" t="str">
        <x:f>IF(V70&gt;0,"Yes","No")</x:f>
        <x:v>No</x:v>
      </x:c>
      <x:c r="X70" s="52" t="str">
        <x:v>fixed multilingual physical and digital wayfinding</x:v>
      </x:c>
      <x:c r="Y70" s="52" t="str">
        <x:v>concept_only</x:v>
      </x:c>
      <x:c r="Z70" s="52" t="str">
        <x:v>planning_anchor ±25–100 m</x:v>
      </x:c>
      <x:c r="AA70" s="52" t="str">
        <x:v>engineering_assumption</x:v>
      </x:c>
      <x:c r="AB70" s="52" t="str">
        <x:v>https://attstadium.com/stadium-info/parking/</x:v>
      </x:c>
    </x:row>
    <x:row r="71">
      <x:c r="A71" s="52" t="str">
        <x:v>dallas-station-TMP</x:v>
      </x:c>
      <x:c r="B71" s="52" t="n">
        <x:v>3</x:v>
      </x:c>
      <x:c r="C71" s="52" t="str">
        <x:v>dallas</x:v>
      </x:c>
      <x:c r="D71" s="52" t="str">
        <x:v>Dallas</x:v>
      </x:c>
      <x:c r="E71" s="52" t="str">
        <x:v>station</x:v>
      </x:c>
      <x:c r="F71" s="52" t="str">
        <x:v>Station-capacity package</x:v>
      </x:c>
      <x:c r="G71" s="52" t="str">
        <x:v>temporary</x:v>
      </x:c>
      <x:c r="H71" s="52" t="str">
        <x:v>dal-att-way-east-plaza</x:v>
      </x:c>
      <x:c r="I71" s="52" t="str">
        <x:v>DAL-EPL</x:v>
      </x:c>
      <x:c r="J71" s="52" t="str">
        <x:v>AT&amp;T Way east plaza approach</x:v>
      </x:c>
      <x:c r="K71" s="53" t="n">
        <x:v>32.7479</x:v>
      </x:c>
      <x:c r="L71" s="53" t="n">
        <x:v>-97.0909</x:v>
      </x:c>
      <x:c r="M71" s="56" t="n">
        <x:v>300</x:v>
      </x:c>
      <x:c r="N71" s="56" t="str">
        <x:v>glb_model</x:v>
      </x:c>
      <x:c r="O71" s="56" t="n">
        <x:v>120</x:v>
      </x:c>
      <x:c r="P71" s="56" t="n">
        <x:v>45</x:v>
      </x:c>
      <x:c r="Q71" s="56" t="n">
        <x:v>6</x:v>
      </x:c>
      <x:c r="R71" s="56" t="n">
        <x:v>240</x:v>
      </x:c>
      <x:c r="S71" s="56" t="n">
        <x:v>0.05</x:v>
      </x:c>
      <x:c r="T71" s="52" t="str">
        <x:v>#F59E0B</x:v>
      </x:c>
      <x:c r="U71" s="55" t="n">
        <x:v>0.55</x:v>
      </x:c>
      <x:c r="V71" s="58" t="n">
        <x:f>'Funding Categories'!L40</x:f>
        <x:v>0</x:v>
      </x:c>
      <x:c r="W71" s="52" t="str">
        <x:f>IF(V71&gt;0,"Yes","No")</x:f>
        <x:v>No</x:v>
      </x:c>
      <x:c r="X71" s="52" t="str">
        <x:v>temporary gates; queue barriers; portable fare equipment</x:v>
      </x:c>
      <x:c r="Y71" s="52" t="str">
        <x:v>concept_only</x:v>
      </x:c>
      <x:c r="Z71" s="52" t="str">
        <x:v>planning_anchor ±25–100 m</x:v>
      </x:c>
      <x:c r="AA71" s="52" t="str">
        <x:v>engineering_assumption</x:v>
      </x:c>
      <x:c r="AB71" s="52" t="str">
        <x:v>https://attstadium.com/stadium-info/parking/</x:v>
      </x:c>
    </x:row>
    <x:row r="72">
      <x:c r="A72" s="52" t="str">
        <x:v>dallas-station-PERM</x:v>
      </x:c>
      <x:c r="B72" s="52" t="n">
        <x:v>3</x:v>
      </x:c>
      <x:c r="C72" s="52" t="str">
        <x:v>dallas</x:v>
      </x:c>
      <x:c r="D72" s="52" t="str">
        <x:v>Dallas</x:v>
      </x:c>
      <x:c r="E72" s="52" t="str">
        <x:v>station</x:v>
      </x:c>
      <x:c r="F72" s="52" t="str">
        <x:v>Station-capacity package</x:v>
      </x:c>
      <x:c r="G72" s="52" t="str">
        <x:v>permanent</x:v>
      </x:c>
      <x:c r="H72" s="52" t="str">
        <x:v>dal-att-way-east-plaza</x:v>
      </x:c>
      <x:c r="I72" s="52" t="str">
        <x:v>DAL-EPL</x:v>
      </x:c>
      <x:c r="J72" s="52" t="str">
        <x:v>AT&amp;T Way east plaza approach</x:v>
      </x:c>
      <x:c r="K72" s="53" t="n">
        <x:v>32.7479</x:v>
      </x:c>
      <x:c r="L72" s="53" t="n">
        <x:v>-97.0909</x:v>
      </x:c>
      <x:c r="M72" s="56" t="n">
        <x:v>300</x:v>
      </x:c>
      <x:c r="N72" s="56" t="str">
        <x:v>glb_model</x:v>
      </x:c>
      <x:c r="O72" s="56" t="n">
        <x:v>120</x:v>
      </x:c>
      <x:c r="P72" s="56" t="n">
        <x:v>45</x:v>
      </x:c>
      <x:c r="Q72" s="56" t="n">
        <x:v>18</x:v>
      </x:c>
      <x:c r="R72" s="56" t="n">
        <x:v>247</x:v>
      </x:c>
      <x:c r="S72" s="56" t="n">
        <x:v>0.1</x:v>
      </x:c>
      <x:c r="T72" s="52" t="str">
        <x:v>#2563EB</x:v>
      </x:c>
      <x:c r="U72" s="55" t="n">
        <x:v>0.85</x:v>
      </x:c>
      <x:c r="V72" s="58" t="n">
        <x:f>'Funding Categories'!M40</x:f>
        <x:v>0</x:v>
      </x:c>
      <x:c r="W72" s="52" t="str">
        <x:f>IF(V72&gt;0,"Yes","No")</x:f>
        <x:v>No</x:v>
      </x:c>
      <x:c r="X72" s="52" t="str">
        <x:v>platform, entry and circulation expansion</x:v>
      </x:c>
      <x:c r="Y72" s="52" t="str">
        <x:v>concept_only</x:v>
      </x:c>
      <x:c r="Z72" s="52" t="str">
        <x:v>planning_anchor ±25–100 m</x:v>
      </x:c>
      <x:c r="AA72" s="52" t="str">
        <x:v>engineering_assumption</x:v>
      </x:c>
      <x:c r="AB72" s="52" t="str">
        <x:v>https://attstadium.com/stadium-info/parking/</x:v>
      </x:c>
    </x:row>
    <x:row r="73">
      <x:c r="A73" s="52" t="str">
        <x:v>dallas-toc-TMP</x:v>
      </x:c>
      <x:c r="B73" s="52" t="n">
        <x:v>3</x:v>
      </x:c>
      <x:c r="C73" s="52" t="str">
        <x:v>dallas</x:v>
      </x:c>
      <x:c r="D73" s="52" t="str">
        <x:v>Dallas</x:v>
      </x:c>
      <x:c r="E73" s="52" t="str">
        <x:v>toc</x:v>
      </x:c>
      <x:c r="F73" s="52" t="str">
        <x:v>Integrated traffic operations</x:v>
      </x:c>
      <x:c r="G73" s="52" t="str">
        <x:v>temporary</x:v>
      </x:c>
      <x:c r="H73" s="52" t="str">
        <x:v>dal-miller-litehouse</x:v>
      </x:c>
      <x:c r="I73" s="52" t="str">
        <x:v>DAL-MLH</x:v>
      </x:c>
      <x:c r="J73" s="52" t="str">
        <x:v>Miller LiteHouse pickup at North Collins Street and Cowboys Way</x:v>
      </x:c>
      <x:c r="K73" s="53" t="n">
        <x:v>32.7506</x:v>
      </x:c>
      <x:c r="L73" s="53" t="n">
        <x:v>-97.0915</x:v>
      </x:c>
      <x:c r="M73" s="56" t="n">
        <x:v>350</x:v>
      </x:c>
      <x:c r="N73" s="56" t="str">
        <x:v>glb_model</x:v>
      </x:c>
      <x:c r="O73" s="56" t="n">
        <x:v>60</x:v>
      </x:c>
      <x:c r="P73" s="56" t="n">
        <x:v>40</x:v>
      </x:c>
      <x:c r="Q73" s="56" t="n">
        <x:v>4</x:v>
      </x:c>
      <x:c r="R73" s="56" t="n">
        <x:v>257</x:v>
      </x:c>
      <x:c r="S73" s="56" t="n">
        <x:v>0.05</x:v>
      </x:c>
      <x:c r="T73" s="52" t="str">
        <x:v>#F59E0B</x:v>
      </x:c>
      <x:c r="U73" s="55" t="n">
        <x:v>0.55</x:v>
      </x:c>
      <x:c r="V73" s="58" t="n">
        <x:f>'Funding Categories'!L41</x:f>
        <x:v>375000</x:v>
      </x:c>
      <x:c r="W73" s="52" t="str">
        <x:f>IF(V73&gt;0,"Yes","No")</x:f>
        <x:v>Yes</x:v>
      </x:c>
      <x:c r="X73" s="52" t="str">
        <x:v>unified incident command and temporary sensor feeds</x:v>
      </x:c>
      <x:c r="Y73" s="52" t="str">
        <x:v>concept_only</x:v>
      </x:c>
      <x:c r="Z73" s="52" t="str">
        <x:v>planning_anchor ±25–100 m</x:v>
      </x:c>
      <x:c r="AA73" s="52" t="str">
        <x:v>engineering_assumption</x:v>
      </x:c>
      <x:c r="AB73" s="52" t="str">
        <x:v>https://attstadium.com/stadium-info/parking/</x:v>
      </x:c>
    </x:row>
    <x:row r="74">
      <x:c r="A74" s="52" t="str">
        <x:v>dallas-toc-PERM</x:v>
      </x:c>
      <x:c r="B74" s="52" t="n">
        <x:v>3</x:v>
      </x:c>
      <x:c r="C74" s="52" t="str">
        <x:v>dallas</x:v>
      </x:c>
      <x:c r="D74" s="52" t="str">
        <x:v>Dallas</x:v>
      </x:c>
      <x:c r="E74" s="52" t="str">
        <x:v>toc</x:v>
      </x:c>
      <x:c r="F74" s="52" t="str">
        <x:v>Integrated traffic operations</x:v>
      </x:c>
      <x:c r="G74" s="52" t="str">
        <x:v>permanent</x:v>
      </x:c>
      <x:c r="H74" s="52" t="str">
        <x:v>dal-miller-litehouse</x:v>
      </x:c>
      <x:c r="I74" s="52" t="str">
        <x:v>DAL-MLH</x:v>
      </x:c>
      <x:c r="J74" s="52" t="str">
        <x:v>Miller LiteHouse pickup at North Collins Street and Cowboys Way</x:v>
      </x:c>
      <x:c r="K74" s="53" t="n">
        <x:v>32.7506</x:v>
      </x:c>
      <x:c r="L74" s="53" t="n">
        <x:v>-97.0915</x:v>
      </x:c>
      <x:c r="M74" s="56" t="n">
        <x:v>350</x:v>
      </x:c>
      <x:c r="N74" s="56" t="str">
        <x:v>glb_model</x:v>
      </x:c>
      <x:c r="O74" s="56" t="n">
        <x:v>60</x:v>
      </x:c>
      <x:c r="P74" s="56" t="n">
        <x:v>40</x:v>
      </x:c>
      <x:c r="Q74" s="56" t="n">
        <x:v>12</x:v>
      </x:c>
      <x:c r="R74" s="56" t="n">
        <x:v>264</x:v>
      </x:c>
      <x:c r="S74" s="56" t="n">
        <x:v>0.1</x:v>
      </x:c>
      <x:c r="T74" s="52" t="str">
        <x:v>#2563EB</x:v>
      </x:c>
      <x:c r="U74" s="55" t="n">
        <x:v>0.85</x:v>
      </x:c>
      <x:c r="V74" s="58" t="n">
        <x:f>'Funding Categories'!M41</x:f>
        <x:v>1125000</x:v>
      </x:c>
      <x:c r="W74" s="52" t="str">
        <x:f>IF(V74&gt;0,"Yes","No")</x:f>
        <x:v>Yes</x:v>
      </x:c>
      <x:c r="X74" s="52" t="str">
        <x:v>integrated operations center and adaptive dispatch</x:v>
      </x:c>
      <x:c r="Y74" s="52" t="str">
        <x:v>concept_only</x:v>
      </x:c>
      <x:c r="Z74" s="52" t="str">
        <x:v>planning_anchor ±25–100 m</x:v>
      </x:c>
      <x:c r="AA74" s="52" t="str">
        <x:v>engineering_assumption</x:v>
      </x:c>
      <x:c r="AB74" s="52" t="str">
        <x:v>https://attstadium.com/stadium-info/parking/</x:v>
      </x:c>
    </x:row>
    <x:row r="75">
      <x:c r="A75" s="52" t="str">
        <x:v>dallas-access-TMP</x:v>
      </x:c>
      <x:c r="B75" s="52" t="n">
        <x:v>3</x:v>
      </x:c>
      <x:c r="C75" s="52" t="str">
        <x:v>dallas</x:v>
      </x:c>
      <x:c r="D75" s="52" t="str">
        <x:v>Dallas</x:v>
      </x:c>
      <x:c r="E75" s="52" t="str">
        <x:v>access</x:v>
      </x:c>
      <x:c r="F75" s="52" t="str">
        <x:v>ADA/microtransit access</x:v>
      </x:c>
      <x:c r="G75" s="52" t="str">
        <x:v>temporary</x:v>
      </x:c>
      <x:c r="H75" s="52" t="str">
        <x:v>dal-att-way-east-plaza</x:v>
      </x:c>
      <x:c r="I75" s="52" t="str">
        <x:v>DAL-EPL</x:v>
      </x:c>
      <x:c r="J75" s="52" t="str">
        <x:v>AT&amp;T Way east plaza approach</x:v>
      </x:c>
      <x:c r="K75" s="53" t="n">
        <x:v>32.7479</x:v>
      </x:c>
      <x:c r="L75" s="53" t="n">
        <x:v>-97.0909</x:v>
      </x:c>
      <x:c r="M75" s="56" t="n">
        <x:v>300</x:v>
      </x:c>
      <x:c r="N75" s="56" t="str">
        <x:v>line_extrusion</x:v>
      </x:c>
      <x:c r="O75" s="56" t="n">
        <x:v>800</x:v>
      </x:c>
      <x:c r="P75" s="56" t="n">
        <x:v>3</x:v>
      </x:c>
      <x:c r="Q75" s="56" t="n">
        <x:v>0.1</x:v>
      </x:c>
      <x:c r="R75" s="56" t="n">
        <x:v>274</x:v>
      </x:c>
      <x:c r="S75" s="56" t="n">
        <x:v>0.05</x:v>
      </x:c>
      <x:c r="T75" s="52" t="str">
        <x:v>#F59E0B</x:v>
      </x:c>
      <x:c r="U75" s="55" t="n">
        <x:v>0.55</x:v>
      </x:c>
      <x:c r="V75" s="58" t="n">
        <x:f>'Funding Categories'!L42</x:f>
        <x:v>0</x:v>
      </x:c>
      <x:c r="W75" s="52" t="str">
        <x:f>IF(V75&gt;0,"Yes","No")</x:f>
        <x:v>No</x:v>
      </x:c>
      <x:c r="X75" s="52" t="str">
        <x:v>accessible shuttles; temporary ramps and staffed assistance</x:v>
      </x:c>
      <x:c r="Y75" s="52" t="str">
        <x:v>concept_only</x:v>
      </x:c>
      <x:c r="Z75" s="52" t="str">
        <x:v>planning_anchor ±25–100 m</x:v>
      </x:c>
      <x:c r="AA75" s="52" t="str">
        <x:v>engineering_assumption</x:v>
      </x:c>
      <x:c r="AB75" s="52" t="str">
        <x:v>https://attstadium.com/stadium-info/parking/</x:v>
      </x:c>
    </x:row>
    <x:row r="76">
      <x:c r="A76" s="52" t="str">
        <x:v>dallas-access-PERM</x:v>
      </x:c>
      <x:c r="B76" s="52" t="n">
        <x:v>3</x:v>
      </x:c>
      <x:c r="C76" s="52" t="str">
        <x:v>dallas</x:v>
      </x:c>
      <x:c r="D76" s="52" t="str">
        <x:v>Dallas</x:v>
      </x:c>
      <x:c r="E76" s="52" t="str">
        <x:v>access</x:v>
      </x:c>
      <x:c r="F76" s="52" t="str">
        <x:v>ADA/microtransit access</x:v>
      </x:c>
      <x:c r="G76" s="52" t="str">
        <x:v>permanent</x:v>
      </x:c>
      <x:c r="H76" s="52" t="str">
        <x:v>dal-att-way-east-plaza</x:v>
      </x:c>
      <x:c r="I76" s="52" t="str">
        <x:v>DAL-EPL</x:v>
      </x:c>
      <x:c r="J76" s="52" t="str">
        <x:v>AT&amp;T Way east plaza approach</x:v>
      </x:c>
      <x:c r="K76" s="53" t="n">
        <x:v>32.7479</x:v>
      </x:c>
      <x:c r="L76" s="53" t="n">
        <x:v>-97.0909</x:v>
      </x:c>
      <x:c r="M76" s="56" t="n">
        <x:v>300</x:v>
      </x:c>
      <x:c r="N76" s="56" t="str">
        <x:v>line_extrusion</x:v>
      </x:c>
      <x:c r="O76" s="56" t="n">
        <x:v>800</x:v>
      </x:c>
      <x:c r="P76" s="56" t="n">
        <x:v>3</x:v>
      </x:c>
      <x:c r="Q76" s="56" t="n">
        <x:v>0.1</x:v>
      </x:c>
      <x:c r="R76" s="56" t="n">
        <x:v>281</x:v>
      </x:c>
      <x:c r="S76" s="56" t="n">
        <x:v>0.1</x:v>
      </x:c>
      <x:c r="T76" s="52" t="str">
        <x:v>#2563EB</x:v>
      </x:c>
      <x:c r="U76" s="55" t="n">
        <x:v>0.85</x:v>
      </x:c>
      <x:c r="V76" s="58" t="n">
        <x:f>'Funding Categories'!M42</x:f>
        <x:v>0</x:v>
      </x:c>
      <x:c r="W76" s="52" t="str">
        <x:f>IF(V76&gt;0,"Yes","No")</x:f>
        <x:v>No</x:v>
      </x:c>
      <x:c r="X76" s="52" t="str">
        <x:v>ADA ramps; tactile guidance; accessible first/last-mile network</x:v>
      </x:c>
      <x:c r="Y76" s="52" t="str">
        <x:v>concept_only</x:v>
      </x:c>
      <x:c r="Z76" s="52" t="str">
        <x:v>planning_anchor ±25–100 m</x:v>
      </x:c>
      <x:c r="AA76" s="52" t="str">
        <x:v>engineering_assumption</x:v>
      </x:c>
      <x:c r="AB76" s="52" t="str">
        <x:v>https://attstadium.com/stadium-info/parking/</x:v>
      </x:c>
    </x:row>
    <x:row r="77">
      <x:c r="A77" s="52" t="str">
        <x:v>houston-service-TMP</x:v>
      </x:c>
      <x:c r="B77" s="52" t="n">
        <x:v>4</x:v>
      </x:c>
      <x:c r="C77" s="52" t="str">
        <x:v>houston</x:v>
      </x:c>
      <x:c r="D77" s="52" t="str">
        <x:v>Houston</x:v>
      </x:c>
      <x:c r="E77" s="52" t="str">
        <x:v>service</x:v>
      </x:c>
      <x:c r="F77" s="52" t="str">
        <x:v>Extra transit service</x:v>
      </x:c>
      <x:c r="G77" s="52" t="str">
        <x:v>temporary</x:v>
      </x:c>
      <x:c r="H77" s="52" t="str">
        <x:v>hou-stadium-park-astrodome</x:v>
      </x:c>
      <x:c r="I77" s="52" t="str">
        <x:v>HOU-SPA</x:v>
      </x:c>
      <x:c r="J77" s="52" t="str">
        <x:v>Stadium Park/Astrodome Station–Fannin Street approach</x:v>
      </x:c>
      <x:c r="K77" s="53" t="n">
        <x:v>29.6852</x:v>
      </x:c>
      <x:c r="L77" s="53" t="n">
        <x:v>-95.407</x:v>
      </x:c>
      <x:c r="M77" s="56" t="n">
        <x:v>250</x:v>
      </x:c>
      <x:c r="N77" s="56" t="str">
        <x:v>animated_route</x:v>
      </x:c>
      <x:c r="O77" s="56" t="n">
        <x:v>1500</x:v>
      </x:c>
      <x:c r="P77" s="56" t="n">
        <x:v>2</x:v>
      </x:c>
      <x:c r="Q77" s="56" t="n">
        <x:v>0.5</x:v>
      </x:c>
      <x:c r="R77" s="56" t="n">
        <x:v>116</x:v>
      </x:c>
      <x:c r="S77" s="56" t="n">
        <x:v>0.05</x:v>
      </x:c>
      <x:c r="T77" s="52" t="str">
        <x:v>#F59E0B</x:v>
      </x:c>
      <x:c r="U77" s="55" t="n">
        <x:v>0.55</x:v>
      </x:c>
      <x:c r="V77" s="58" t="n">
        <x:f>'Funding Categories'!L44</x:f>
        <x:v>880000</x:v>
      </x:c>
      <x:c r="W77" s="52" t="str">
        <x:f>IF(V77&gt;0,"Yes","No")</x:f>
        <x:v>Yes</x:v>
      </x:c>
      <x:c r="X77" s="52" t="str">
        <x:v>extra rail/bus vehicle-hours; standby operators; event timetable</x:v>
      </x:c>
      <x:c r="Y77" s="52" t="str">
        <x:v>concept_only</x:v>
      </x:c>
      <x:c r="Z77" s="52" t="str">
        <x:v>planning_anchor ±25–100 m</x:v>
      </x:c>
      <x:c r="AA77" s="52" t="str">
        <x:v>engineering_assumption</x:v>
      </x:c>
      <x:c r="AB77" s="52" t="str">
        <x:v>https://www.ridemetro.org/riding-metro/houston-attractions/reliant-park</x:v>
      </x:c>
    </x:row>
    <x:row r="78">
      <x:c r="A78" s="52" t="str">
        <x:v>houston-service-PERM</x:v>
      </x:c>
      <x:c r="B78" s="52" t="n">
        <x:v>4</x:v>
      </x:c>
      <x:c r="C78" s="52" t="str">
        <x:v>houston</x:v>
      </x:c>
      <x:c r="D78" s="52" t="str">
        <x:v>Houston</x:v>
      </x:c>
      <x:c r="E78" s="52" t="str">
        <x:v>service</x:v>
      </x:c>
      <x:c r="F78" s="52" t="str">
        <x:v>Extra transit service</x:v>
      </x:c>
      <x:c r="G78" s="52" t="str">
        <x:v>permanent</x:v>
      </x:c>
      <x:c r="H78" s="52" t="str">
        <x:v>hou-stadium-park-astrodome</x:v>
      </x:c>
      <x:c r="I78" s="52" t="str">
        <x:v>HOU-SPA</x:v>
      </x:c>
      <x:c r="J78" s="52" t="str">
        <x:v>Stadium Park/Astrodome Station–Fannin Street approach</x:v>
      </x:c>
      <x:c r="K78" s="53" t="n">
        <x:v>29.6852</x:v>
      </x:c>
      <x:c r="L78" s="53" t="n">
        <x:v>-95.407</x:v>
      </x:c>
      <x:c r="M78" s="56" t="n">
        <x:v>250</x:v>
      </x:c>
      <x:c r="N78" s="56" t="str">
        <x:v>animated_route</x:v>
      </x:c>
      <x:c r="O78" s="56" t="n">
        <x:v>1500</x:v>
      </x:c>
      <x:c r="P78" s="56" t="n">
        <x:v>2</x:v>
      </x:c>
      <x:c r="Q78" s="56" t="n">
        <x:v>1</x:v>
      </x:c>
      <x:c r="R78" s="56" t="n">
        <x:v>123</x:v>
      </x:c>
      <x:c r="S78" s="56" t="n">
        <x:v>0.1</x:v>
      </x:c>
      <x:c r="T78" s="52" t="str">
        <x:v>#2563EB</x:v>
      </x:c>
      <x:c r="U78" s="55" t="n">
        <x:v>0.85</x:v>
      </x:c>
      <x:c r="V78" s="58" t="n">
        <x:f>'Funding Categories'!M44</x:f>
        <x:v>220000</x:v>
      </x:c>
      <x:c r="W78" s="52" t="str">
        <x:f>IF(V78&gt;0,"Yes","No")</x:f>
        <x:v>Yes</x:v>
      </x:c>
      <x:c r="X78" s="52" t="str">
        <x:v>recurring major-event service plan; fleet and stabling readiness</x:v>
      </x:c>
      <x:c r="Y78" s="52" t="str">
        <x:v>concept_only</x:v>
      </x:c>
      <x:c r="Z78" s="52" t="str">
        <x:v>planning_anchor ±25–100 m</x:v>
      </x:c>
      <x:c r="AA78" s="52" t="str">
        <x:v>engineering_assumption</x:v>
      </x:c>
      <x:c r="AB78" s="52" t="str">
        <x:v>https://www.ridemetro.org/riding-metro/houston-attractions/reliant-park</x:v>
      </x:c>
    </x:row>
    <x:row r="79">
      <x:c r="A79" s="52" t="str">
        <x:v>houston-buslane-TMP</x:v>
      </x:c>
      <x:c r="B79" s="52" t="n">
        <x:v>4</x:v>
      </x:c>
      <x:c r="C79" s="52" t="str">
        <x:v>houston</x:v>
      </x:c>
      <x:c r="D79" s="52" t="str">
        <x:v>Houston</x:v>
      </x:c>
      <x:c r="E79" s="52" t="str">
        <x:v>buslane</x:v>
      </x:c>
      <x:c r="F79" s="52" t="str">
        <x:v>Transit-priority lanes</x:v>
      </x:c>
      <x:c r="G79" s="52" t="str">
        <x:v>temporary</x:v>
      </x:c>
      <x:c r="H79" s="52" t="str">
        <x:v>hou-kirby-nrg</x:v>
      </x:c>
      <x:c r="I79" s="52" t="str">
        <x:v>HOU-KIR</x:v>
      </x:c>
      <x:c r="J79" s="52" t="str">
        <x:v>Kirby Drive and NRG Parkway west gate</x:v>
      </x:c>
      <x:c r="K79" s="53" t="n">
        <x:v>29.6846</x:v>
      </x:c>
      <x:c r="L79" s="53" t="n">
        <x:v>-95.4141</x:v>
      </x:c>
      <x:c r="M79" s="56" t="n">
        <x:v>300</x:v>
      </x:c>
      <x:c r="N79" s="56" t="str">
        <x:v>line_extrusion</x:v>
      </x:c>
      <x:c r="O79" s="56" t="n">
        <x:v>3200</x:v>
      </x:c>
      <x:c r="P79" s="56" t="n">
        <x:v>3.5</x:v>
      </x:c>
      <x:c r="Q79" s="56" t="n">
        <x:v>0.1</x:v>
      </x:c>
      <x:c r="R79" s="56" t="n">
        <x:v>133</x:v>
      </x:c>
      <x:c r="S79" s="56" t="n">
        <x:v>0.05</x:v>
      </x:c>
      <x:c r="T79" s="52" t="str">
        <x:v>#F59E0B</x:v>
      </x:c>
      <x:c r="U79" s="55" t="n">
        <x:v>0.55</x:v>
      </x:c>
      <x:c r="V79" s="58" t="n">
        <x:f>'Funding Categories'!L45</x:f>
        <x:v>648000</x:v>
      </x:c>
      <x:c r="W79" s="52" t="str">
        <x:f>IF(V79&gt;0,"Yes","No")</x:f>
        <x:v>Yes</x:v>
      </x:c>
      <x:c r="X79" s="52" t="str">
        <x:v>cone- and paint-defined bus lane with enforcement</x:v>
      </x:c>
      <x:c r="Y79" s="52" t="str">
        <x:v>concept_only</x:v>
      </x:c>
      <x:c r="Z79" s="52" t="str">
        <x:v>planning_anchor ±25–100 m</x:v>
      </x:c>
      <x:c r="AA79" s="52" t="str">
        <x:v>engineering_assumption</x:v>
      </x:c>
      <x:c r="AB79" s="52" t="str">
        <x:v>https://www.reliantpark.com/maps/</x:v>
      </x:c>
    </x:row>
    <x:row r="80">
      <x:c r="A80" s="52" t="str">
        <x:v>houston-buslane-PERM</x:v>
      </x:c>
      <x:c r="B80" s="52" t="n">
        <x:v>4</x:v>
      </x:c>
      <x:c r="C80" s="52" t="str">
        <x:v>houston</x:v>
      </x:c>
      <x:c r="D80" s="52" t="str">
        <x:v>Houston</x:v>
      </x:c>
      <x:c r="E80" s="52" t="str">
        <x:v>buslane</x:v>
      </x:c>
      <x:c r="F80" s="52" t="str">
        <x:v>Transit-priority lanes</x:v>
      </x:c>
      <x:c r="G80" s="52" t="str">
        <x:v>permanent</x:v>
      </x:c>
      <x:c r="H80" s="52" t="str">
        <x:v>hou-kirby-nrg</x:v>
      </x:c>
      <x:c r="I80" s="52" t="str">
        <x:v>HOU-KIR</x:v>
      </x:c>
      <x:c r="J80" s="52" t="str">
        <x:v>Kirby Drive and NRG Parkway west gate</x:v>
      </x:c>
      <x:c r="K80" s="53" t="n">
        <x:v>29.6846</x:v>
      </x:c>
      <x:c r="L80" s="53" t="n">
        <x:v>-95.4141</x:v>
      </x:c>
      <x:c r="M80" s="56" t="n">
        <x:v>300</x:v>
      </x:c>
      <x:c r="N80" s="56" t="str">
        <x:v>line_extrusion</x:v>
      </x:c>
      <x:c r="O80" s="56" t="n">
        <x:v>3200</x:v>
      </x:c>
      <x:c r="P80" s="56" t="n">
        <x:v>3.5</x:v>
      </x:c>
      <x:c r="Q80" s="56" t="n">
        <x:v>0.1</x:v>
      </x:c>
      <x:c r="R80" s="56" t="n">
        <x:v>140</x:v>
      </x:c>
      <x:c r="S80" s="56" t="n">
        <x:v>0.1</x:v>
      </x:c>
      <x:c r="T80" s="52" t="str">
        <x:v>#2563EB</x:v>
      </x:c>
      <x:c r="U80" s="55" t="n">
        <x:v>0.85</x:v>
      </x:c>
      <x:c r="V80" s="58" t="n">
        <x:f>'Funding Categories'!M45</x:f>
        <x:v>792000</x:v>
      </x:c>
      <x:c r="W80" s="52" t="str">
        <x:f>IF(V80&gt;0,"Yes","No")</x:f>
        <x:v>Yes</x:v>
      </x:c>
      <x:c r="X80" s="52" t="str">
        <x:v>dedicated or peak-period transit-priority lane</x:v>
      </x:c>
      <x:c r="Y80" s="52" t="str">
        <x:v>concept_only</x:v>
      </x:c>
      <x:c r="Z80" s="52" t="str">
        <x:v>planning_anchor ±25–100 m</x:v>
      </x:c>
      <x:c r="AA80" s="52" t="str">
        <x:v>engineering_assumption</x:v>
      </x:c>
      <x:c r="AB80" s="52" t="str">
        <x:v>https://www.reliantpark.com/maps/</x:v>
      </x:c>
    </x:row>
    <x:row r="81">
      <x:c r="A81" s="52" t="str">
        <x:v>houston-signals-TMP</x:v>
      </x:c>
      <x:c r="B81" s="52" t="n">
        <x:v>4</x:v>
      </x:c>
      <x:c r="C81" s="52" t="str">
        <x:v>houston</x:v>
      </x:c>
      <x:c r="D81" s="52" t="str">
        <x:v>Houston</x:v>
      </x:c>
      <x:c r="E81" s="52" t="str">
        <x:v>signals</x:v>
      </x:c>
      <x:c r="F81" s="52" t="str">
        <x:v>Signal timing plans</x:v>
      </x:c>
      <x:c r="G81" s="52" t="str">
        <x:v>temporary</x:v>
      </x:c>
      <x:c r="H81" s="52" t="str">
        <x:v>hou-kirby-nrg</x:v>
      </x:c>
      <x:c r="I81" s="52" t="str">
        <x:v>HOU-KIR</x:v>
      </x:c>
      <x:c r="J81" s="52" t="str">
        <x:v>Kirby Drive and NRG Parkway west gate</x:v>
      </x:c>
      <x:c r="K81" s="53" t="n">
        <x:v>29.6846</x:v>
      </x:c>
      <x:c r="L81" s="53" t="n">
        <x:v>-95.4141</x:v>
      </x:c>
      <x:c r="M81" s="56" t="n">
        <x:v>300</x:v>
      </x:c>
      <x:c r="N81" s="56" t="str">
        <x:v>point_model</x:v>
      </x:c>
      <x:c r="O81" s="56" t="n">
        <x:v>1</x:v>
      </x:c>
      <x:c r="P81" s="56" t="n">
        <x:v>1</x:v>
      </x:c>
      <x:c r="Q81" s="56" t="n">
        <x:v>3</x:v>
      </x:c>
      <x:c r="R81" s="56" t="n">
        <x:v>150</x:v>
      </x:c>
      <x:c r="S81" s="56" t="n">
        <x:v>0.05</x:v>
      </x:c>
      <x:c r="T81" s="52" t="str">
        <x:v>#F59E0B</x:v>
      </x:c>
      <x:c r="U81" s="55" t="n">
        <x:v>0.55</x:v>
      </x:c>
      <x:c r="V81" s="58" t="n">
        <x:f>'Funding Categories'!L46</x:f>
        <x:v>90000</x:v>
      </x:c>
      <x:c r="W81" s="52" t="str">
        <x:f>IF(V81&gt;0,"Yes","No")</x:f>
        <x:v>Yes</x:v>
      </x:c>
      <x:c r="X81" s="52" t="str">
        <x:v>police/manual traffic control and temporary timing plan</x:v>
      </x:c>
      <x:c r="Y81" s="52" t="str">
        <x:v>concept_only</x:v>
      </x:c>
      <x:c r="Z81" s="52" t="str">
        <x:v>planning_anchor ±25–100 m</x:v>
      </x:c>
      <x:c r="AA81" s="52" t="str">
        <x:v>engineering_assumption</x:v>
      </x:c>
      <x:c r="AB81" s="52" t="str">
        <x:v>https://www.reliantpark.com/maps/</x:v>
      </x:c>
    </x:row>
    <x:row r="82">
      <x:c r="A82" s="52" t="str">
        <x:v>houston-signals-PERM</x:v>
      </x:c>
      <x:c r="B82" s="52" t="n">
        <x:v>4</x:v>
      </x:c>
      <x:c r="C82" s="52" t="str">
        <x:v>houston</x:v>
      </x:c>
      <x:c r="D82" s="52" t="str">
        <x:v>Houston</x:v>
      </x:c>
      <x:c r="E82" s="52" t="str">
        <x:v>signals</x:v>
      </x:c>
      <x:c r="F82" s="52" t="str">
        <x:v>Signal timing plans</x:v>
      </x:c>
      <x:c r="G82" s="52" t="str">
        <x:v>permanent</x:v>
      </x:c>
      <x:c r="H82" s="52" t="str">
        <x:v>hou-kirby-nrg</x:v>
      </x:c>
      <x:c r="I82" s="52" t="str">
        <x:v>HOU-KIR</x:v>
      </x:c>
      <x:c r="J82" s="52" t="str">
        <x:v>Kirby Drive and NRG Parkway west gate</x:v>
      </x:c>
      <x:c r="K82" s="53" t="n">
        <x:v>29.6846</x:v>
      </x:c>
      <x:c r="L82" s="53" t="n">
        <x:v>-95.4141</x:v>
      </x:c>
      <x:c r="M82" s="56" t="n">
        <x:v>300</x:v>
      </x:c>
      <x:c r="N82" s="56" t="str">
        <x:v>point_model</x:v>
      </x:c>
      <x:c r="O82" s="56" t="n">
        <x:v>1</x:v>
      </x:c>
      <x:c r="P82" s="56" t="n">
        <x:v>1</x:v>
      </x:c>
      <x:c r="Q82" s="56" t="n">
        <x:v>6</x:v>
      </x:c>
      <x:c r="R82" s="56" t="n">
        <x:v>157</x:v>
      </x:c>
      <x:c r="S82" s="56" t="n">
        <x:v>0.1</x:v>
      </x:c>
      <x:c r="T82" s="52" t="str">
        <x:v>#2563EB</x:v>
      </x:c>
      <x:c r="U82" s="55" t="n">
        <x:v>0.85</x:v>
      </x:c>
      <x:c r="V82" s="58" t="n">
        <x:f>'Funding Categories'!M46</x:f>
        <x:v>270000</x:v>
      </x:c>
      <x:c r="W82" s="52" t="str">
        <x:f>IF(V82&gt;0,"Yes","No")</x:f>
        <x:v>Yes</x:v>
      </x:c>
      <x:c r="X82" s="52" t="str">
        <x:v>adaptive controllers and transit signal priority</x:v>
      </x:c>
      <x:c r="Y82" s="52" t="str">
        <x:v>concept_only</x:v>
      </x:c>
      <x:c r="Z82" s="52" t="str">
        <x:v>planning_anchor ±25–100 m</x:v>
      </x:c>
      <x:c r="AA82" s="52" t="str">
        <x:v>engineering_assumption</x:v>
      </x:c>
      <x:c r="AB82" s="52" t="str">
        <x:v>https://www.reliantpark.com/maps/</x:v>
      </x:c>
    </x:row>
    <x:row r="83">
      <x:c r="A83" s="52" t="str">
        <x:v>houston-hub-TMP</x:v>
      </x:c>
      <x:c r="B83" s="52" t="n">
        <x:v>4</x:v>
      </x:c>
      <x:c r="C83" s="52" t="str">
        <x:v>houston</x:v>
      </x:c>
      <x:c r="D83" s="52" t="str">
        <x:v>Houston</x:v>
      </x:c>
      <x:c r="E83" s="52" t="str">
        <x:v>hub</x:v>
      </x:c>
      <x:c r="F83" s="52" t="str">
        <x:v>Hub-to-stadium shuttle package</x:v>
      </x:c>
      <x:c r="G83" s="52" t="str">
        <x:v>temporary</x:v>
      </x:c>
      <x:c r="H83" s="52" t="str">
        <x:v>hou-kirby-nrg</x:v>
      </x:c>
      <x:c r="I83" s="52" t="str">
        <x:v>HOU-KIR</x:v>
      </x:c>
      <x:c r="J83" s="52" t="str">
        <x:v>Kirby Drive and NRG Parkway west gate</x:v>
      </x:c>
      <x:c r="K83" s="53" t="n">
        <x:v>29.6846</x:v>
      </x:c>
      <x:c r="L83" s="53" t="n">
        <x:v>-95.4141</x:v>
      </x:c>
      <x:c r="M83" s="56" t="n">
        <x:v>300</x:v>
      </x:c>
      <x:c r="N83" s="56" t="str">
        <x:v>polygon_extrusion</x:v>
      </x:c>
      <x:c r="O83" s="56" t="n">
        <x:v>90</x:v>
      </x:c>
      <x:c r="P83" s="56" t="n">
        <x:v>60</x:v>
      </x:c>
      <x:c r="Q83" s="56" t="n">
        <x:v>3</x:v>
      </x:c>
      <x:c r="R83" s="56" t="n">
        <x:v>167</x:v>
      </x:c>
      <x:c r="S83" s="56" t="n">
        <x:v>0.05</x:v>
      </x:c>
      <x:c r="T83" s="52" t="str">
        <x:v>#F59E0B</x:v>
      </x:c>
      <x:c r="U83" s="55" t="n">
        <x:v>0.55</x:v>
      </x:c>
      <x:c r="V83" s="58" t="n">
        <x:f>'Funding Categories'!L47</x:f>
        <x:v>600000</x:v>
      </x:c>
      <x:c r="W83" s="52" t="str">
        <x:f>IF(V83&gt;0,"Yes","No")</x:f>
        <x:v>Yes</x:v>
      </x:c>
      <x:c r="X83" s="52" t="str">
        <x:v>pop-up shuttle zone; temporary shelters and dispatch</x:v>
      </x:c>
      <x:c r="Y83" s="52" t="str">
        <x:v>concept_only</x:v>
      </x:c>
      <x:c r="Z83" s="52" t="str">
        <x:v>planning_anchor ±25–100 m</x:v>
      </x:c>
      <x:c r="AA83" s="52" t="str">
        <x:v>engineering_assumption</x:v>
      </x:c>
      <x:c r="AB83" s="52" t="str">
        <x:v>https://www.reliantpark.com/maps/</x:v>
      </x:c>
    </x:row>
    <x:row r="84">
      <x:c r="A84" s="52" t="str">
        <x:v>houston-hub-PERM</x:v>
      </x:c>
      <x:c r="B84" s="52" t="n">
        <x:v>4</x:v>
      </x:c>
      <x:c r="C84" s="52" t="str">
        <x:v>houston</x:v>
      </x:c>
      <x:c r="D84" s="52" t="str">
        <x:v>Houston</x:v>
      </x:c>
      <x:c r="E84" s="52" t="str">
        <x:v>hub</x:v>
      </x:c>
      <x:c r="F84" s="52" t="str">
        <x:v>Hub-to-stadium shuttle package</x:v>
      </x:c>
      <x:c r="G84" s="52" t="str">
        <x:v>permanent</x:v>
      </x:c>
      <x:c r="H84" s="52" t="str">
        <x:v>hou-kirby-nrg</x:v>
      </x:c>
      <x:c r="I84" s="52" t="str">
        <x:v>HOU-KIR</x:v>
      </x:c>
      <x:c r="J84" s="52" t="str">
        <x:v>Kirby Drive and NRG Parkway west gate</x:v>
      </x:c>
      <x:c r="K84" s="53" t="n">
        <x:v>29.6846</x:v>
      </x:c>
      <x:c r="L84" s="53" t="n">
        <x:v>-95.4141</x:v>
      </x:c>
      <x:c r="M84" s="56" t="n">
        <x:v>300</x:v>
      </x:c>
      <x:c r="N84" s="56" t="str">
        <x:v>polygon_extrusion</x:v>
      </x:c>
      <x:c r="O84" s="56" t="n">
        <x:v>90</x:v>
      </x:c>
      <x:c r="P84" s="56" t="n">
        <x:v>60</x:v>
      </x:c>
      <x:c r="Q84" s="56" t="n">
        <x:v>6</x:v>
      </x:c>
      <x:c r="R84" s="56" t="n">
        <x:v>174</x:v>
      </x:c>
      <x:c r="S84" s="56" t="n">
        <x:v>0.1</x:v>
      </x:c>
      <x:c r="T84" s="52" t="str">
        <x:v>#2563EB</x:v>
      </x:c>
      <x:c r="U84" s="55" t="n">
        <x:v>0.85</x:v>
      </x:c>
      <x:c r="V84" s="58" t="n">
        <x:f>'Funding Categories'!M47</x:f>
        <x:v>900000</x:v>
      </x:c>
      <x:c r="W84" s="52" t="str">
        <x:f>IF(V84&gt;0,"Yes","No")</x:f>
        <x:v>Yes</x:v>
      </x:c>
      <x:c r="X84" s="52" t="str">
        <x:v>permanent multimodal mobility hub</x:v>
      </x:c>
      <x:c r="Y84" s="52" t="str">
        <x:v>concept_only</x:v>
      </x:c>
      <x:c r="Z84" s="52" t="str">
        <x:v>planning_anchor ±25–100 m</x:v>
      </x:c>
      <x:c r="AA84" s="52" t="str">
        <x:v>engineering_assumption</x:v>
      </x:c>
      <x:c r="AB84" s="52" t="str">
        <x:v>https://www.reliantpark.com/maps/</x:v>
      </x:c>
    </x:row>
    <x:row r="85">
      <x:c r="A85" s="52" t="str">
        <x:v>houston-parkride-TMP</x:v>
      </x:c>
      <x:c r="B85" s="52" t="n">
        <x:v>4</x:v>
      </x:c>
      <x:c r="C85" s="52" t="str">
        <x:v>houston</x:v>
      </x:c>
      <x:c r="D85" s="52" t="str">
        <x:v>Houston</x:v>
      </x:c>
      <x:c r="E85" s="52" t="str">
        <x:v>parkride</x:v>
      </x:c>
      <x:c r="F85" s="52" t="str">
        <x:v>Park-and-ride package</x:v>
      </x:c>
      <x:c r="G85" s="52" t="str">
        <x:v>temporary</x:v>
      </x:c>
      <x:c r="H85" s="52" t="str">
        <x:v>hou-kirby-nrg</x:v>
      </x:c>
      <x:c r="I85" s="52" t="str">
        <x:v>HOU-KIR</x:v>
      </x:c>
      <x:c r="J85" s="52" t="str">
        <x:v>Kirby Drive and NRG Parkway west gate</x:v>
      </x:c>
      <x:c r="K85" s="53" t="n">
        <x:v>29.6846</x:v>
      </x:c>
      <x:c r="L85" s="53" t="n">
        <x:v>-95.4141</x:v>
      </x:c>
      <x:c r="M85" s="56" t="n">
        <x:v>300</x:v>
      </x:c>
      <x:c r="N85" s="56" t="str">
        <x:v>polygon_extrusion</x:v>
      </x:c>
      <x:c r="O85" s="56" t="n">
        <x:v>220</x:v>
      </x:c>
      <x:c r="P85" s="56" t="n">
        <x:v>150</x:v>
      </x:c>
      <x:c r="Q85" s="56" t="n">
        <x:v>0.2</x:v>
      </x:c>
      <x:c r="R85" s="56" t="n">
        <x:v>184</x:v>
      </x:c>
      <x:c r="S85" s="56" t="n">
        <x:v>0.05</x:v>
      </x:c>
      <x:c r="T85" s="52" t="str">
        <x:v>#F59E0B</x:v>
      </x:c>
      <x:c r="U85" s="55" t="n">
        <x:v>0.55</x:v>
      </x:c>
      <x:c r="V85" s="58" t="n">
        <x:f>'Funding Categories'!L48</x:f>
        <x:v>225000</x:v>
      </x:c>
      <x:c r="W85" s="52" t="str">
        <x:f>IF(V85&gt;0,"Yes","No")</x:f>
        <x:v>Yes</x:v>
      </x:c>
      <x:c r="X85" s="52" t="str">
        <x:v>leased intercept lots and temporary signing</x:v>
      </x:c>
      <x:c r="Y85" s="52" t="str">
        <x:v>concept_only</x:v>
      </x:c>
      <x:c r="Z85" s="52" t="str">
        <x:v>planning_anchor ±25–100 m</x:v>
      </x:c>
      <x:c r="AA85" s="52" t="str">
        <x:v>engineering_assumption</x:v>
      </x:c>
      <x:c r="AB85" s="52" t="str">
        <x:v>https://www.reliantpark.com/maps/</x:v>
      </x:c>
    </x:row>
    <x:row r="86">
      <x:c r="A86" s="52" t="str">
        <x:v>houston-parkride-PERM</x:v>
      </x:c>
      <x:c r="B86" s="52" t="n">
        <x:v>4</x:v>
      </x:c>
      <x:c r="C86" s="52" t="str">
        <x:v>houston</x:v>
      </x:c>
      <x:c r="D86" s="52" t="str">
        <x:v>Houston</x:v>
      </x:c>
      <x:c r="E86" s="52" t="str">
        <x:v>parkride</x:v>
      </x:c>
      <x:c r="F86" s="52" t="str">
        <x:v>Park-and-ride package</x:v>
      </x:c>
      <x:c r="G86" s="52" t="str">
        <x:v>permanent</x:v>
      </x:c>
      <x:c r="H86" s="52" t="str">
        <x:v>hou-kirby-nrg</x:v>
      </x:c>
      <x:c r="I86" s="52" t="str">
        <x:v>HOU-KIR</x:v>
      </x:c>
      <x:c r="J86" s="52" t="str">
        <x:v>Kirby Drive and NRG Parkway west gate</x:v>
      </x:c>
      <x:c r="K86" s="53" t="n">
        <x:v>29.6846</x:v>
      </x:c>
      <x:c r="L86" s="53" t="n">
        <x:v>-95.4141</x:v>
      </x:c>
      <x:c r="M86" s="56" t="n">
        <x:v>300</x:v>
      </x:c>
      <x:c r="N86" s="56" t="str">
        <x:v>polygon_extrusion</x:v>
      </x:c>
      <x:c r="O86" s="56" t="n">
        <x:v>220</x:v>
      </x:c>
      <x:c r="P86" s="56" t="n">
        <x:v>150</x:v>
      </x:c>
      <x:c r="Q86" s="56" t="n">
        <x:v>0.2</x:v>
      </x:c>
      <x:c r="R86" s="56" t="n">
        <x:v>191</x:v>
      </x:c>
      <x:c r="S86" s="56" t="n">
        <x:v>0.1</x:v>
      </x:c>
      <x:c r="T86" s="52" t="str">
        <x:v>#2563EB</x:v>
      </x:c>
      <x:c r="U86" s="55" t="n">
        <x:v>0.85</x:v>
      </x:c>
      <x:c r="V86" s="58" t="n">
        <x:f>'Funding Categories'!M48</x:f>
        <x:v>225000</x:v>
      </x:c>
      <x:c r="W86" s="52" t="str">
        <x:f>IF(V86&gt;0,"Yes","No")</x:f>
        <x:v>Yes</x:v>
      </x:c>
      <x:c r="X86" s="52" t="str">
        <x:v>permanent park-and-ride with charging and transit access</x:v>
      </x:c>
      <x:c r="Y86" s="52" t="str">
        <x:v>concept_only</x:v>
      </x:c>
      <x:c r="Z86" s="52" t="str">
        <x:v>planning_anchor ±25–100 m</x:v>
      </x:c>
      <x:c r="AA86" s="52" t="str">
        <x:v>engineering_assumption</x:v>
      </x:c>
      <x:c r="AB86" s="52" t="str">
        <x:v>https://www.reliantpark.com/maps/</x:v>
      </x:c>
    </x:row>
    <x:row r="87">
      <x:c r="A87" s="52" t="str">
        <x:v>houston-ped-TMP</x:v>
      </x:c>
      <x:c r="B87" s="52" t="n">
        <x:v>4</x:v>
      </x:c>
      <x:c r="C87" s="52" t="str">
        <x:v>houston</x:v>
      </x:c>
      <x:c r="D87" s="52" t="str">
        <x:v>Houston</x:v>
      </x:c>
      <x:c r="E87" s="52" t="str">
        <x:v>ped</x:v>
      </x:c>
      <x:c r="F87" s="52" t="str">
        <x:v>Protected pedestrian corridor</x:v>
      </x:c>
      <x:c r="G87" s="52" t="str">
        <x:v>temporary</x:v>
      </x:c>
      <x:c r="H87" s="52" t="str">
        <x:v>hou-stadium-park-astrodome</x:v>
      </x:c>
      <x:c r="I87" s="52" t="str">
        <x:v>HOU-SPA</x:v>
      </x:c>
      <x:c r="J87" s="52" t="str">
        <x:v>Stadium Park/Astrodome Station–Fannin Street approach</x:v>
      </x:c>
      <x:c r="K87" s="53" t="n">
        <x:v>29.6852</x:v>
      </x:c>
      <x:c r="L87" s="53" t="n">
        <x:v>-95.407</x:v>
      </x:c>
      <x:c r="M87" s="56" t="n">
        <x:v>250</x:v>
      </x:c>
      <x:c r="N87" s="56" t="str">
        <x:v>line_extrusion</x:v>
      </x:c>
      <x:c r="O87" s="56" t="n">
        <x:v>1600</x:v>
      </x:c>
      <x:c r="P87" s="56" t="n">
        <x:v>6</x:v>
      </x:c>
      <x:c r="Q87" s="56" t="n">
        <x:v>0.15</x:v>
      </x:c>
      <x:c r="R87" s="56" t="n">
        <x:v>201</x:v>
      </x:c>
      <x:c r="S87" s="56" t="n">
        <x:v>0.05</x:v>
      </x:c>
      <x:c r="T87" s="52" t="str">
        <x:v>#F59E0B</x:v>
      </x:c>
      <x:c r="U87" s="55" t="n">
        <x:v>0.55</x:v>
      </x:c>
      <x:c r="V87" s="58" t="n">
        <x:f>'Funding Categories'!L49</x:f>
        <x:v>0</x:v>
      </x:c>
      <x:c r="W87" s="52" t="str">
        <x:f>IF(V87&gt;0,"Yes","No")</x:f>
        <x:v>No</x:v>
      </x:c>
      <x:c r="X87" s="52" t="str">
        <x:v>barricaded protected corridor; marshals and lighting</x:v>
      </x:c>
      <x:c r="Y87" s="52" t="str">
        <x:v>concept_only</x:v>
      </x:c>
      <x:c r="Z87" s="52" t="str">
        <x:v>planning_anchor ±25–100 m</x:v>
      </x:c>
      <x:c r="AA87" s="52" t="str">
        <x:v>engineering_assumption</x:v>
      </x:c>
      <x:c r="AB87" s="52" t="str">
        <x:v>https://www.ridemetro.org/riding-metro/houston-attractions/reliant-park</x:v>
      </x:c>
    </x:row>
    <x:row r="88">
      <x:c r="A88" s="52" t="str">
        <x:v>houston-ped-PERM</x:v>
      </x:c>
      <x:c r="B88" s="52" t="n">
        <x:v>4</x:v>
      </x:c>
      <x:c r="C88" s="52" t="str">
        <x:v>houston</x:v>
      </x:c>
      <x:c r="D88" s="52" t="str">
        <x:v>Houston</x:v>
      </x:c>
      <x:c r="E88" s="52" t="str">
        <x:v>ped</x:v>
      </x:c>
      <x:c r="F88" s="52" t="str">
        <x:v>Protected pedestrian corridor</x:v>
      </x:c>
      <x:c r="G88" s="52" t="str">
        <x:v>permanent</x:v>
      </x:c>
      <x:c r="H88" s="52" t="str">
        <x:v>hou-stadium-park-astrodome</x:v>
      </x:c>
      <x:c r="I88" s="52" t="str">
        <x:v>HOU-SPA</x:v>
      </x:c>
      <x:c r="J88" s="52" t="str">
        <x:v>Stadium Park/Astrodome Station–Fannin Street approach</x:v>
      </x:c>
      <x:c r="K88" s="53" t="n">
        <x:v>29.6852</x:v>
      </x:c>
      <x:c r="L88" s="53" t="n">
        <x:v>-95.407</x:v>
      </x:c>
      <x:c r="M88" s="56" t="n">
        <x:v>250</x:v>
      </x:c>
      <x:c r="N88" s="56" t="str">
        <x:v>line_extrusion</x:v>
      </x:c>
      <x:c r="O88" s="56" t="n">
        <x:v>1600</x:v>
      </x:c>
      <x:c r="P88" s="56" t="n">
        <x:v>6</x:v>
      </x:c>
      <x:c r="Q88" s="56" t="n">
        <x:v>0.15</x:v>
      </x:c>
      <x:c r="R88" s="56" t="n">
        <x:v>208</x:v>
      </x:c>
      <x:c r="S88" s="56" t="n">
        <x:v>0.1</x:v>
      </x:c>
      <x:c r="T88" s="52" t="str">
        <x:v>#0F766E</x:v>
      </x:c>
      <x:c r="U88" s="55" t="n">
        <x:v>0.85</x:v>
      </x:c>
      <x:c r="V88" s="58" t="n">
        <x:f>'Funding Categories'!M49</x:f>
        <x:v>0</x:v>
      </x:c>
      <x:c r="W88" s="52" t="str">
        <x:f>IF(V88&gt;0,"Yes","No")</x:f>
        <x:v>No</x:v>
      </x:c>
      <x:c r="X88" s="52" t="str">
        <x:v>widened sidewalk; lighting; drainage and separation</x:v>
      </x:c>
      <x:c r="Y88" s="52" t="str">
        <x:v>concept_only</x:v>
      </x:c>
      <x:c r="Z88" s="52" t="str">
        <x:v>planning_anchor ±25–100 m</x:v>
      </x:c>
      <x:c r="AA88" s="52" t="str">
        <x:v>engineering_assumption</x:v>
      </x:c>
      <x:c r="AB88" s="52" t="str">
        <x:v>https://www.ridemetro.org/riding-metro/houston-attractions/reliant-park</x:v>
      </x:c>
    </x:row>
    <x:row r="89">
      <x:c r="A89" s="52" t="str">
        <x:v>houston-bike-TMP</x:v>
      </x:c>
      <x:c r="B89" s="52" t="n">
        <x:v>4</x:v>
      </x:c>
      <x:c r="C89" s="52" t="str">
        <x:v>houston</x:v>
      </x:c>
      <x:c r="D89" s="52" t="str">
        <x:v>Houston</x:v>
      </x:c>
      <x:c r="E89" s="52" t="str">
        <x:v>bike</x:v>
      </x:c>
      <x:c r="F89" s="52" t="str">
        <x:v>Protected bicycle access</x:v>
      </x:c>
      <x:c r="G89" s="52" t="str">
        <x:v>temporary</x:v>
      </x:c>
      <x:c r="H89" s="52" t="str">
        <x:v>hou-stadium-park-astrodome</x:v>
      </x:c>
      <x:c r="I89" s="52" t="str">
        <x:v>HOU-SPA</x:v>
      </x:c>
      <x:c r="J89" s="52" t="str">
        <x:v>Stadium Park/Astrodome Station–Fannin Street approach</x:v>
      </x:c>
      <x:c r="K89" s="53" t="n">
        <x:v>29.6852</x:v>
      </x:c>
      <x:c r="L89" s="53" t="n">
        <x:v>-95.407</x:v>
      </x:c>
      <x:c r="M89" s="56" t="n">
        <x:v>250</x:v>
      </x:c>
      <x:c r="N89" s="56" t="str">
        <x:v>line_extrusion</x:v>
      </x:c>
      <x:c r="O89" s="56" t="n">
        <x:v>3200</x:v>
      </x:c>
      <x:c r="P89" s="56" t="n">
        <x:v>3</x:v>
      </x:c>
      <x:c r="Q89" s="56" t="n">
        <x:v>0.1</x:v>
      </x:c>
      <x:c r="R89" s="56" t="n">
        <x:v>218</x:v>
      </x:c>
      <x:c r="S89" s="56" t="n">
        <x:v>0.05</x:v>
      </x:c>
      <x:c r="T89" s="52" t="str">
        <x:v>#F59E0B</x:v>
      </x:c>
      <x:c r="U89" s="55" t="n">
        <x:v>0.55</x:v>
      </x:c>
      <x:c r="V89" s="58" t="n">
        <x:f>'Funding Categories'!L50</x:f>
        <x:v>0</x:v>
      </x:c>
      <x:c r="W89" s="52" t="str">
        <x:f>IF(V89&gt;0,"Yes","No")</x:f>
        <x:v>No</x:v>
      </x:c>
      <x:c r="X89" s="52" t="str">
        <x:v>pop-up protected lane and attended bike valet</x:v>
      </x:c>
      <x:c r="Y89" s="52" t="str">
        <x:v>concept_only</x:v>
      </x:c>
      <x:c r="Z89" s="52" t="str">
        <x:v>planning_anchor ±25–100 m</x:v>
      </x:c>
      <x:c r="AA89" s="52" t="str">
        <x:v>engineering_assumption</x:v>
      </x:c>
      <x:c r="AB89" s="52" t="str">
        <x:v>https://www.ridemetro.org/riding-metro/houston-attractions/reliant-park</x:v>
      </x:c>
    </x:row>
    <x:row r="90">
      <x:c r="A90" s="52" t="str">
        <x:v>houston-bike-PERM</x:v>
      </x:c>
      <x:c r="B90" s="52" t="n">
        <x:v>4</x:v>
      </x:c>
      <x:c r="C90" s="52" t="str">
        <x:v>houston</x:v>
      </x:c>
      <x:c r="D90" s="52" t="str">
        <x:v>Houston</x:v>
      </x:c>
      <x:c r="E90" s="52" t="str">
        <x:v>bike</x:v>
      </x:c>
      <x:c r="F90" s="52" t="str">
        <x:v>Protected bicycle access</x:v>
      </x:c>
      <x:c r="G90" s="52" t="str">
        <x:v>permanent</x:v>
      </x:c>
      <x:c r="H90" s="52" t="str">
        <x:v>hou-stadium-park-astrodome</x:v>
      </x:c>
      <x:c r="I90" s="52" t="str">
        <x:v>HOU-SPA</x:v>
      </x:c>
      <x:c r="J90" s="52" t="str">
        <x:v>Stadium Park/Astrodome Station–Fannin Street approach</x:v>
      </x:c>
      <x:c r="K90" s="53" t="n">
        <x:v>29.6852</x:v>
      </x:c>
      <x:c r="L90" s="53" t="n">
        <x:v>-95.407</x:v>
      </x:c>
      <x:c r="M90" s="56" t="n">
        <x:v>250</x:v>
      </x:c>
      <x:c r="N90" s="56" t="str">
        <x:v>line_extrusion</x:v>
      </x:c>
      <x:c r="O90" s="56" t="n">
        <x:v>3200</x:v>
      </x:c>
      <x:c r="P90" s="56" t="n">
        <x:v>3</x:v>
      </x:c>
      <x:c r="Q90" s="56" t="n">
        <x:v>0.1</x:v>
      </x:c>
      <x:c r="R90" s="56" t="n">
        <x:v>225</x:v>
      </x:c>
      <x:c r="S90" s="56" t="n">
        <x:v>0.1</x:v>
      </x:c>
      <x:c r="T90" s="52" t="str">
        <x:v>#0F766E</x:v>
      </x:c>
      <x:c r="U90" s="55" t="n">
        <x:v>0.85</x:v>
      </x:c>
      <x:c r="V90" s="58" t="n">
        <x:f>'Funding Categories'!M50</x:f>
        <x:v>0</x:v>
      </x:c>
      <x:c r="W90" s="52" t="str">
        <x:f>IF(V90&gt;0,"Yes","No")</x:f>
        <x:v>No</x:v>
      </x:c>
      <x:c r="X90" s="52" t="str">
        <x:v>protected bikeway and secure long-term parking</x:v>
      </x:c>
      <x:c r="Y90" s="52" t="str">
        <x:v>concept_only</x:v>
      </x:c>
      <x:c r="Z90" s="52" t="str">
        <x:v>planning_anchor ±25–100 m</x:v>
      </x:c>
      <x:c r="AA90" s="52" t="str">
        <x:v>engineering_assumption</x:v>
      </x:c>
      <x:c r="AB90" s="52" t="str">
        <x:v>https://www.ridemetro.org/riding-metro/houston-attractions/reliant-park</x:v>
      </x:c>
    </x:row>
    <x:row r="91">
      <x:c r="A91" s="52" t="str">
        <x:v>houston-tnc-TMP</x:v>
      </x:c>
      <x:c r="B91" s="52" t="n">
        <x:v>4</x:v>
      </x:c>
      <x:c r="C91" s="52" t="str">
        <x:v>houston</x:v>
      </x:c>
      <x:c r="D91" s="52" t="str">
        <x:v>Houston</x:v>
      </x:c>
      <x:c r="E91" s="52" t="str">
        <x:v>tnc</x:v>
      </x:c>
      <x:c r="F91" s="52" t="str">
        <x:v>Managed rideshare hub</x:v>
      </x:c>
      <x:c r="G91" s="52" t="str">
        <x:v>temporary</x:v>
      </x:c>
      <x:c r="H91" s="52" t="str">
        <x:v>hou-kirby-nrg</x:v>
      </x:c>
      <x:c r="I91" s="52" t="str">
        <x:v>HOU-KIR</x:v>
      </x:c>
      <x:c r="J91" s="52" t="str">
        <x:v>Kirby Drive and NRG Parkway west gate</x:v>
      </x:c>
      <x:c r="K91" s="53" t="n">
        <x:v>29.6846</x:v>
      </x:c>
      <x:c r="L91" s="53" t="n">
        <x:v>-95.4141</x:v>
      </x:c>
      <x:c r="M91" s="56" t="n">
        <x:v>300</x:v>
      </x:c>
      <x:c r="N91" s="56" t="str">
        <x:v>polygon_extrusion</x:v>
      </x:c>
      <x:c r="O91" s="56" t="n">
        <x:v>70</x:v>
      </x:c>
      <x:c r="P91" s="56" t="n">
        <x:v>45</x:v>
      </x:c>
      <x:c r="Q91" s="56" t="n">
        <x:v>0.2</x:v>
      </x:c>
      <x:c r="R91" s="56" t="n">
        <x:v>235</x:v>
      </x:c>
      <x:c r="S91" s="56" t="n">
        <x:v>0.05</x:v>
      </x:c>
      <x:c r="T91" s="52" t="str">
        <x:v>#F59E0B</x:v>
      </x:c>
      <x:c r="U91" s="55" t="n">
        <x:v>0.55</x:v>
      </x:c>
      <x:c r="V91" s="58" t="n">
        <x:f>'Funding Categories'!L51</x:f>
        <x:v>400000</x:v>
      </x:c>
      <x:c r="W91" s="52" t="str">
        <x:f>IF(V91&gt;0,"Yes","No")</x:f>
        <x:v>Yes</x:v>
      </x:c>
      <x:c r="X91" s="52" t="str">
        <x:v>staffed geofenced pickup with temporary lane control</x:v>
      </x:c>
      <x:c r="Y91" s="52" t="str">
        <x:v>concept_only</x:v>
      </x:c>
      <x:c r="Z91" s="52" t="str">
        <x:v>planning_anchor ±25–100 m</x:v>
      </x:c>
      <x:c r="AA91" s="52" t="str">
        <x:v>engineering_assumption</x:v>
      </x:c>
      <x:c r="AB91" s="52" t="str">
        <x:v>https://www.reliantpark.com/maps/</x:v>
      </x:c>
    </x:row>
    <x:row r="92">
      <x:c r="A92" s="52" t="str">
        <x:v>houston-tnc-PERM</x:v>
      </x:c>
      <x:c r="B92" s="52" t="n">
        <x:v>4</x:v>
      </x:c>
      <x:c r="C92" s="52" t="str">
        <x:v>houston</x:v>
      </x:c>
      <x:c r="D92" s="52" t="str">
        <x:v>Houston</x:v>
      </x:c>
      <x:c r="E92" s="52" t="str">
        <x:v>tnc</x:v>
      </x:c>
      <x:c r="F92" s="52" t="str">
        <x:v>Managed rideshare hub</x:v>
      </x:c>
      <x:c r="G92" s="52" t="str">
        <x:v>permanent</x:v>
      </x:c>
      <x:c r="H92" s="52" t="str">
        <x:v>hou-kirby-nrg</x:v>
      </x:c>
      <x:c r="I92" s="52" t="str">
        <x:v>HOU-KIR</x:v>
      </x:c>
      <x:c r="J92" s="52" t="str">
        <x:v>Kirby Drive and NRG Parkway west gate</x:v>
      </x:c>
      <x:c r="K92" s="53" t="n">
        <x:v>29.6846</x:v>
      </x:c>
      <x:c r="L92" s="53" t="n">
        <x:v>-95.4141</x:v>
      </x:c>
      <x:c r="M92" s="56" t="n">
        <x:v>300</x:v>
      </x:c>
      <x:c r="N92" s="56" t="str">
        <x:v>polygon_extrusion</x:v>
      </x:c>
      <x:c r="O92" s="56" t="n">
        <x:v>70</x:v>
      </x:c>
      <x:c r="P92" s="56" t="n">
        <x:v>45</x:v>
      </x:c>
      <x:c r="Q92" s="56" t="n">
        <x:v>0.2</x:v>
      </x:c>
      <x:c r="R92" s="56" t="n">
        <x:v>242</x:v>
      </x:c>
      <x:c r="S92" s="56" t="n">
        <x:v>0.1</x:v>
      </x:c>
      <x:c r="T92" s="52" t="str">
        <x:v>#2563EB</x:v>
      </x:c>
      <x:c r="U92" s="55" t="n">
        <x:v>0.85</x:v>
      </x:c>
      <x:c r="V92" s="58" t="n">
        <x:f>'Funding Categories'!M51</x:f>
        <x:v>400000</x:v>
      </x:c>
      <x:c r="W92" s="52" t="str">
        <x:f>IF(V92&gt;0,"Yes","No")</x:f>
        <x:v>Yes</x:v>
      </x:c>
      <x:c r="X92" s="52" t="str">
        <x:v>off-street rideshare hub with accessible bays</x:v>
      </x:c>
      <x:c r="Y92" s="52" t="str">
        <x:v>concept_only</x:v>
      </x:c>
      <x:c r="Z92" s="52" t="str">
        <x:v>planning_anchor ±25–100 m</x:v>
      </x:c>
      <x:c r="AA92" s="52" t="str">
        <x:v>engineering_assumption</x:v>
      </x:c>
      <x:c r="AB92" s="52" t="str">
        <x:v>https://www.reliantpark.com/maps/</x:v>
      </x:c>
    </x:row>
    <x:row r="93">
      <x:c r="A93" s="52" t="str">
        <x:v>houston-wayfinding-TMP</x:v>
      </x:c>
      <x:c r="B93" s="52" t="n">
        <x:v>4</x:v>
      </x:c>
      <x:c r="C93" s="52" t="str">
        <x:v>houston</x:v>
      </x:c>
      <x:c r="D93" s="52" t="str">
        <x:v>Houston</x:v>
      </x:c>
      <x:c r="E93" s="52" t="str">
        <x:v>wayfinding</x:v>
      </x:c>
      <x:c r="F93" s="52" t="str">
        <x:v>Multilingual wayfinding</x:v>
      </x:c>
      <x:c r="G93" s="52" t="str">
        <x:v>temporary</x:v>
      </x:c>
      <x:c r="H93" s="52" t="str">
        <x:v>hou-stadium-park-astrodome</x:v>
      </x:c>
      <x:c r="I93" s="52" t="str">
        <x:v>HOU-SPA</x:v>
      </x:c>
      <x:c r="J93" s="52" t="str">
        <x:v>Stadium Park/Astrodome Station–Fannin Street approach</x:v>
      </x:c>
      <x:c r="K93" s="53" t="n">
        <x:v>29.6852</x:v>
      </x:c>
      <x:c r="L93" s="53" t="n">
        <x:v>-95.407</x:v>
      </x:c>
      <x:c r="M93" s="56" t="n">
        <x:v>250</x:v>
      </x:c>
      <x:c r="N93" s="56" t="str">
        <x:v>point_model</x:v>
      </x:c>
      <x:c r="O93" s="56" t="n">
        <x:v>1</x:v>
      </x:c>
      <x:c r="P93" s="56" t="n">
        <x:v>1</x:v>
      </x:c>
      <x:c r="Q93" s="56" t="n">
        <x:v>2.5</x:v>
      </x:c>
      <x:c r="R93" s="56" t="n">
        <x:v>252</x:v>
      </x:c>
      <x:c r="S93" s="56" t="n">
        <x:v>0.05</x:v>
      </x:c>
      <x:c r="T93" s="52" t="str">
        <x:v>#F59E0B</x:v>
      </x:c>
      <x:c r="U93" s="55" t="n">
        <x:v>0.55</x:v>
      </x:c>
      <x:c r="V93" s="58" t="n">
        <x:f>'Funding Categories'!L52</x:f>
        <x:v>270000</x:v>
      </x:c>
      <x:c r="W93" s="52" t="str">
        <x:f>IF(V93&gt;0,"Yes","No")</x:f>
        <x:v>Yes</x:v>
      </x:c>
      <x:c r="X93" s="52" t="str">
        <x:v>portable signs; digital messages; multilingual ambassadors</x:v>
      </x:c>
      <x:c r="Y93" s="52" t="str">
        <x:v>concept_only</x:v>
      </x:c>
      <x:c r="Z93" s="52" t="str">
        <x:v>planning_anchor ±25–100 m</x:v>
      </x:c>
      <x:c r="AA93" s="52" t="str">
        <x:v>engineering_assumption</x:v>
      </x:c>
      <x:c r="AB93" s="52" t="str">
        <x:v>https://www.ridemetro.org/riding-metro/houston-attractions/reliant-park</x:v>
      </x:c>
    </x:row>
    <x:row r="94">
      <x:c r="A94" s="52" t="str">
        <x:v>houston-wayfinding-PERM</x:v>
      </x:c>
      <x:c r="B94" s="52" t="n">
        <x:v>4</x:v>
      </x:c>
      <x:c r="C94" s="52" t="str">
        <x:v>houston</x:v>
      </x:c>
      <x:c r="D94" s="52" t="str">
        <x:v>Houston</x:v>
      </x:c>
      <x:c r="E94" s="52" t="str">
        <x:v>wayfinding</x:v>
      </x:c>
      <x:c r="F94" s="52" t="str">
        <x:v>Multilingual wayfinding</x:v>
      </x:c>
      <x:c r="G94" s="52" t="str">
        <x:v>permanent</x:v>
      </x:c>
      <x:c r="H94" s="52" t="str">
        <x:v>hou-stadium-park-astrodome</x:v>
      </x:c>
      <x:c r="I94" s="52" t="str">
        <x:v>HOU-SPA</x:v>
      </x:c>
      <x:c r="J94" s="52" t="str">
        <x:v>Stadium Park/Astrodome Station–Fannin Street approach</x:v>
      </x:c>
      <x:c r="K94" s="53" t="n">
        <x:v>29.6852</x:v>
      </x:c>
      <x:c r="L94" s="53" t="n">
        <x:v>-95.407</x:v>
      </x:c>
      <x:c r="M94" s="56" t="n">
        <x:v>250</x:v>
      </x:c>
      <x:c r="N94" s="56" t="str">
        <x:v>point_model</x:v>
      </x:c>
      <x:c r="O94" s="56" t="n">
        <x:v>1</x:v>
      </x:c>
      <x:c r="P94" s="56" t="n">
        <x:v>1</x:v>
      </x:c>
      <x:c r="Q94" s="56" t="n">
        <x:v>4</x:v>
      </x:c>
      <x:c r="R94" s="56" t="n">
        <x:v>259</x:v>
      </x:c>
      <x:c r="S94" s="56" t="n">
        <x:v>0.1</x:v>
      </x:c>
      <x:c r="T94" s="52" t="str">
        <x:v>#2563EB</x:v>
      </x:c>
      <x:c r="U94" s="55" t="n">
        <x:v>0.85</x:v>
      </x:c>
      <x:c r="V94" s="58" t="n">
        <x:f>'Funding Categories'!M52</x:f>
        <x:v>330000</x:v>
      </x:c>
      <x:c r="W94" s="52" t="str">
        <x:f>IF(V94&gt;0,"Yes","No")</x:f>
        <x:v>Yes</x:v>
      </x:c>
      <x:c r="X94" s="52" t="str">
        <x:v>fixed multilingual physical and digital wayfinding</x:v>
      </x:c>
      <x:c r="Y94" s="52" t="str">
        <x:v>concept_only</x:v>
      </x:c>
      <x:c r="Z94" s="52" t="str">
        <x:v>planning_anchor ±25–100 m</x:v>
      </x:c>
      <x:c r="AA94" s="52" t="str">
        <x:v>engineering_assumption</x:v>
      </x:c>
      <x:c r="AB94" s="52" t="str">
        <x:v>https://www.ridemetro.org/riding-metro/houston-attractions/reliant-park</x:v>
      </x:c>
    </x:row>
    <x:row r="95">
      <x:c r="A95" s="52" t="str">
        <x:v>houston-station-TMP</x:v>
      </x:c>
      <x:c r="B95" s="52" t="n">
        <x:v>4</x:v>
      </x:c>
      <x:c r="C95" s="52" t="str">
        <x:v>houston</x:v>
      </x:c>
      <x:c r="D95" s="52" t="str">
        <x:v>Houston</x:v>
      </x:c>
      <x:c r="E95" s="52" t="str">
        <x:v>station</x:v>
      </x:c>
      <x:c r="F95" s="52" t="str">
        <x:v>Station-capacity package</x:v>
      </x:c>
      <x:c r="G95" s="52" t="str">
        <x:v>temporary</x:v>
      </x:c>
      <x:c r="H95" s="52" t="str">
        <x:v>hou-stadium-park-astrodome</x:v>
      </x:c>
      <x:c r="I95" s="52" t="str">
        <x:v>HOU-SPA</x:v>
      </x:c>
      <x:c r="J95" s="52" t="str">
        <x:v>Stadium Park/Astrodome Station–Fannin Street approach</x:v>
      </x:c>
      <x:c r="K95" s="53" t="n">
        <x:v>29.6852</x:v>
      </x:c>
      <x:c r="L95" s="53" t="n">
        <x:v>-95.407</x:v>
      </x:c>
      <x:c r="M95" s="56" t="n">
        <x:v>250</x:v>
      </x:c>
      <x:c r="N95" s="56" t="str">
        <x:v>glb_model</x:v>
      </x:c>
      <x:c r="O95" s="56" t="n">
        <x:v>120</x:v>
      </x:c>
      <x:c r="P95" s="56" t="n">
        <x:v>45</x:v>
      </x:c>
      <x:c r="Q95" s="56" t="n">
        <x:v>6</x:v>
      </x:c>
      <x:c r="R95" s="56" t="n">
        <x:v>269</x:v>
      </x:c>
      <x:c r="S95" s="56" t="n">
        <x:v>0.05</x:v>
      </x:c>
      <x:c r="T95" s="52" t="str">
        <x:v>#F59E0B</x:v>
      </x:c>
      <x:c r="U95" s="55" t="n">
        <x:v>0.55</x:v>
      </x:c>
      <x:c r="V95" s="58" t="n">
        <x:f>'Funding Categories'!L53</x:f>
        <x:v>250000</x:v>
      </x:c>
      <x:c r="W95" s="52" t="str">
        <x:f>IF(V95&gt;0,"Yes","No")</x:f>
        <x:v>Yes</x:v>
      </x:c>
      <x:c r="X95" s="52" t="str">
        <x:v>temporary gates; queue barriers; portable fare equipment</x:v>
      </x:c>
      <x:c r="Y95" s="52" t="str">
        <x:v>concept_only</x:v>
      </x:c>
      <x:c r="Z95" s="52" t="str">
        <x:v>planning_anchor ±25–100 m</x:v>
      </x:c>
      <x:c r="AA95" s="52" t="str">
        <x:v>engineering_assumption</x:v>
      </x:c>
      <x:c r="AB95" s="52" t="str">
        <x:v>https://www.ridemetro.org/riding-metro/houston-attractions/reliant-park</x:v>
      </x:c>
    </x:row>
    <x:row r="96">
      <x:c r="A96" s="52" t="str">
        <x:v>houston-station-PERM</x:v>
      </x:c>
      <x:c r="B96" s="52" t="n">
        <x:v>4</x:v>
      </x:c>
      <x:c r="C96" s="52" t="str">
        <x:v>houston</x:v>
      </x:c>
      <x:c r="D96" s="52" t="str">
        <x:v>Houston</x:v>
      </x:c>
      <x:c r="E96" s="52" t="str">
        <x:v>station</x:v>
      </x:c>
      <x:c r="F96" s="52" t="str">
        <x:v>Station-capacity package</x:v>
      </x:c>
      <x:c r="G96" s="52" t="str">
        <x:v>permanent</x:v>
      </x:c>
      <x:c r="H96" s="52" t="str">
        <x:v>hou-stadium-park-astrodome</x:v>
      </x:c>
      <x:c r="I96" s="52" t="str">
        <x:v>HOU-SPA</x:v>
      </x:c>
      <x:c r="J96" s="52" t="str">
        <x:v>Stadium Park/Astrodome Station–Fannin Street approach</x:v>
      </x:c>
      <x:c r="K96" s="53" t="n">
        <x:v>29.6852</x:v>
      </x:c>
      <x:c r="L96" s="53" t="n">
        <x:v>-95.407</x:v>
      </x:c>
      <x:c r="M96" s="56" t="n">
        <x:v>250</x:v>
      </x:c>
      <x:c r="N96" s="56" t="str">
        <x:v>glb_model</x:v>
      </x:c>
      <x:c r="O96" s="56" t="n">
        <x:v>120</x:v>
      </x:c>
      <x:c r="P96" s="56" t="n">
        <x:v>45</x:v>
      </x:c>
      <x:c r="Q96" s="56" t="n">
        <x:v>18</x:v>
      </x:c>
      <x:c r="R96" s="56" t="n">
        <x:v>276</x:v>
      </x:c>
      <x:c r="S96" s="56" t="n">
        <x:v>0.1</x:v>
      </x:c>
      <x:c r="T96" s="52" t="str">
        <x:v>#2563EB</x:v>
      </x:c>
      <x:c r="U96" s="55" t="n">
        <x:v>0.85</x:v>
      </x:c>
      <x:c r="V96" s="58" t="n">
        <x:f>'Funding Categories'!M53</x:f>
        <x:v>1000000</x:v>
      </x:c>
      <x:c r="W96" s="52" t="str">
        <x:f>IF(V96&gt;0,"Yes","No")</x:f>
        <x:v>Yes</x:v>
      </x:c>
      <x:c r="X96" s="52" t="str">
        <x:v>platform, entry and circulation expansion</x:v>
      </x:c>
      <x:c r="Y96" s="52" t="str">
        <x:v>concept_only</x:v>
      </x:c>
      <x:c r="Z96" s="52" t="str">
        <x:v>planning_anchor ±25–100 m</x:v>
      </x:c>
      <x:c r="AA96" s="52" t="str">
        <x:v>engineering_assumption</x:v>
      </x:c>
      <x:c r="AB96" s="52" t="str">
        <x:v>https://www.ridemetro.org/riding-metro/houston-attractions/reliant-park</x:v>
      </x:c>
    </x:row>
    <x:row r="97">
      <x:c r="A97" s="52" t="str">
        <x:v>houston-toc-TMP</x:v>
      </x:c>
      <x:c r="B97" s="52" t="n">
        <x:v>4</x:v>
      </x:c>
      <x:c r="C97" s="52" t="str">
        <x:v>houston</x:v>
      </x:c>
      <x:c r="D97" s="52" t="str">
        <x:v>Houston</x:v>
      </x:c>
      <x:c r="E97" s="52" t="str">
        <x:v>toc</x:v>
      </x:c>
      <x:c r="F97" s="52" t="str">
        <x:v>Integrated traffic operations</x:v>
      </x:c>
      <x:c r="G97" s="52" t="str">
        <x:v>temporary</x:v>
      </x:c>
      <x:c r="H97" s="52" t="str">
        <x:v>hou-kirby-nrg</x:v>
      </x:c>
      <x:c r="I97" s="52" t="str">
        <x:v>HOU-KIR</x:v>
      </x:c>
      <x:c r="J97" s="52" t="str">
        <x:v>Kirby Drive and NRG Parkway west gate</x:v>
      </x:c>
      <x:c r="K97" s="53" t="n">
        <x:v>29.6846</x:v>
      </x:c>
      <x:c r="L97" s="53" t="n">
        <x:v>-95.4141</x:v>
      </x:c>
      <x:c r="M97" s="56" t="n">
        <x:v>300</x:v>
      </x:c>
      <x:c r="N97" s="56" t="str">
        <x:v>glb_model</x:v>
      </x:c>
      <x:c r="O97" s="56" t="n">
        <x:v>60</x:v>
      </x:c>
      <x:c r="P97" s="56" t="n">
        <x:v>40</x:v>
      </x:c>
      <x:c r="Q97" s="56" t="n">
        <x:v>4</x:v>
      </x:c>
      <x:c r="R97" s="56" t="n">
        <x:v>286</x:v>
      </x:c>
      <x:c r="S97" s="56" t="n">
        <x:v>0.05</x:v>
      </x:c>
      <x:c r="T97" s="52" t="str">
        <x:v>#F59E0B</x:v>
      </x:c>
      <x:c r="U97" s="55" t="n">
        <x:v>0.55</x:v>
      </x:c>
      <x:c r="V97" s="58" t="n">
        <x:f>'Funding Categories'!L54</x:f>
        <x:v>375000</x:v>
      </x:c>
      <x:c r="W97" s="52" t="str">
        <x:f>IF(V97&gt;0,"Yes","No")</x:f>
        <x:v>Yes</x:v>
      </x:c>
      <x:c r="X97" s="52" t="str">
        <x:v>unified incident command and temporary sensor feeds</x:v>
      </x:c>
      <x:c r="Y97" s="52" t="str">
        <x:v>concept_only</x:v>
      </x:c>
      <x:c r="Z97" s="52" t="str">
        <x:v>planning_anchor ±25–100 m</x:v>
      </x:c>
      <x:c r="AA97" s="52" t="str">
        <x:v>engineering_assumption</x:v>
      </x:c>
      <x:c r="AB97" s="52" t="str">
        <x:v>https://www.reliantpark.com/maps/</x:v>
      </x:c>
    </x:row>
    <x:row r="98">
      <x:c r="A98" s="52" t="str">
        <x:v>houston-toc-PERM</x:v>
      </x:c>
      <x:c r="B98" s="52" t="n">
        <x:v>4</x:v>
      </x:c>
      <x:c r="C98" s="52" t="str">
        <x:v>houston</x:v>
      </x:c>
      <x:c r="D98" s="52" t="str">
        <x:v>Houston</x:v>
      </x:c>
      <x:c r="E98" s="52" t="str">
        <x:v>toc</x:v>
      </x:c>
      <x:c r="F98" s="52" t="str">
        <x:v>Integrated traffic operations</x:v>
      </x:c>
      <x:c r="G98" s="52" t="str">
        <x:v>permanent</x:v>
      </x:c>
      <x:c r="H98" s="52" t="str">
        <x:v>hou-kirby-nrg</x:v>
      </x:c>
      <x:c r="I98" s="52" t="str">
        <x:v>HOU-KIR</x:v>
      </x:c>
      <x:c r="J98" s="52" t="str">
        <x:v>Kirby Drive and NRG Parkway west gate</x:v>
      </x:c>
      <x:c r="K98" s="53" t="n">
        <x:v>29.6846</x:v>
      </x:c>
      <x:c r="L98" s="53" t="n">
        <x:v>-95.4141</x:v>
      </x:c>
      <x:c r="M98" s="56" t="n">
        <x:v>300</x:v>
      </x:c>
      <x:c r="N98" s="56" t="str">
        <x:v>glb_model</x:v>
      </x:c>
      <x:c r="O98" s="56" t="n">
        <x:v>60</x:v>
      </x:c>
      <x:c r="P98" s="56" t="n">
        <x:v>40</x:v>
      </x:c>
      <x:c r="Q98" s="56" t="n">
        <x:v>12</x:v>
      </x:c>
      <x:c r="R98" s="56" t="n">
        <x:v>293</x:v>
      </x:c>
      <x:c r="S98" s="56" t="n">
        <x:v>0.1</x:v>
      </x:c>
      <x:c r="T98" s="52" t="str">
        <x:v>#2563EB</x:v>
      </x:c>
      <x:c r="U98" s="55" t="n">
        <x:v>0.85</x:v>
      </x:c>
      <x:c r="V98" s="58" t="n">
        <x:f>'Funding Categories'!M54</x:f>
        <x:v>1125000</x:v>
      </x:c>
      <x:c r="W98" s="52" t="str">
        <x:f>IF(V98&gt;0,"Yes","No")</x:f>
        <x:v>Yes</x:v>
      </x:c>
      <x:c r="X98" s="52" t="str">
        <x:v>integrated operations center and adaptive dispatch</x:v>
      </x:c>
      <x:c r="Y98" s="52" t="str">
        <x:v>concept_only</x:v>
      </x:c>
      <x:c r="Z98" s="52" t="str">
        <x:v>planning_anchor ±25–100 m</x:v>
      </x:c>
      <x:c r="AA98" s="52" t="str">
        <x:v>engineering_assumption</x:v>
      </x:c>
      <x:c r="AB98" s="52" t="str">
        <x:v>https://www.reliantpark.com/maps/</x:v>
      </x:c>
    </x:row>
    <x:row r="99">
      <x:c r="A99" s="52" t="str">
        <x:v>houston-access-TMP</x:v>
      </x:c>
      <x:c r="B99" s="52" t="n">
        <x:v>4</x:v>
      </x:c>
      <x:c r="C99" s="52" t="str">
        <x:v>houston</x:v>
      </x:c>
      <x:c r="D99" s="52" t="str">
        <x:v>Houston</x:v>
      </x:c>
      <x:c r="E99" s="52" t="str">
        <x:v>access</x:v>
      </x:c>
      <x:c r="F99" s="52" t="str">
        <x:v>ADA/microtransit access</x:v>
      </x:c>
      <x:c r="G99" s="52" t="str">
        <x:v>temporary</x:v>
      </x:c>
      <x:c r="H99" s="52" t="str">
        <x:v>hou-stadium-park-astrodome</x:v>
      </x:c>
      <x:c r="I99" s="52" t="str">
        <x:v>HOU-SPA</x:v>
      </x:c>
      <x:c r="J99" s="52" t="str">
        <x:v>Stadium Park/Astrodome Station–Fannin Street approach</x:v>
      </x:c>
      <x:c r="K99" s="53" t="n">
        <x:v>29.6852</x:v>
      </x:c>
      <x:c r="L99" s="53" t="n">
        <x:v>-95.407</x:v>
      </x:c>
      <x:c r="M99" s="56" t="n">
        <x:v>250</x:v>
      </x:c>
      <x:c r="N99" s="56" t="str">
        <x:v>line_extrusion</x:v>
      </x:c>
      <x:c r="O99" s="56" t="n">
        <x:v>800</x:v>
      </x:c>
      <x:c r="P99" s="56" t="n">
        <x:v>3</x:v>
      </x:c>
      <x:c r="Q99" s="56" t="n">
        <x:v>0.1</x:v>
      </x:c>
      <x:c r="R99" s="56" t="n">
        <x:v>303</x:v>
      </x:c>
      <x:c r="S99" s="56" t="n">
        <x:v>0.05</x:v>
      </x:c>
      <x:c r="T99" s="52" t="str">
        <x:v>#F59E0B</x:v>
      </x:c>
      <x:c r="U99" s="55" t="n">
        <x:v>0.55</x:v>
      </x:c>
      <x:c r="V99" s="58" t="n">
        <x:f>'Funding Categories'!L55</x:f>
        <x:v>0</x:v>
      </x:c>
      <x:c r="W99" s="52" t="str">
        <x:f>IF(V99&gt;0,"Yes","No")</x:f>
        <x:v>No</x:v>
      </x:c>
      <x:c r="X99" s="52" t="str">
        <x:v>accessible shuttles; temporary ramps and staffed assistance</x:v>
      </x:c>
      <x:c r="Y99" s="52" t="str">
        <x:v>concept_only</x:v>
      </x:c>
      <x:c r="Z99" s="52" t="str">
        <x:v>planning_anchor ±25–100 m</x:v>
      </x:c>
      <x:c r="AA99" s="52" t="str">
        <x:v>engineering_assumption</x:v>
      </x:c>
      <x:c r="AB99" s="52" t="str">
        <x:v>https://www.ridemetro.org/riding-metro/houston-attractions/reliant-park</x:v>
      </x:c>
    </x:row>
    <x:row r="100">
      <x:c r="A100" s="52" t="str">
        <x:v>houston-access-PERM</x:v>
      </x:c>
      <x:c r="B100" s="52" t="n">
        <x:v>4</x:v>
      </x:c>
      <x:c r="C100" s="52" t="str">
        <x:v>houston</x:v>
      </x:c>
      <x:c r="D100" s="52" t="str">
        <x:v>Houston</x:v>
      </x:c>
      <x:c r="E100" s="52" t="str">
        <x:v>access</x:v>
      </x:c>
      <x:c r="F100" s="52" t="str">
        <x:v>ADA/microtransit access</x:v>
      </x:c>
      <x:c r="G100" s="52" t="str">
        <x:v>permanent</x:v>
      </x:c>
      <x:c r="H100" s="52" t="str">
        <x:v>hou-stadium-park-astrodome</x:v>
      </x:c>
      <x:c r="I100" s="52" t="str">
        <x:v>HOU-SPA</x:v>
      </x:c>
      <x:c r="J100" s="52" t="str">
        <x:v>Stadium Park/Astrodome Station–Fannin Street approach</x:v>
      </x:c>
      <x:c r="K100" s="53" t="n">
        <x:v>29.6852</x:v>
      </x:c>
      <x:c r="L100" s="53" t="n">
        <x:v>-95.407</x:v>
      </x:c>
      <x:c r="M100" s="56" t="n">
        <x:v>250</x:v>
      </x:c>
      <x:c r="N100" s="56" t="str">
        <x:v>line_extrusion</x:v>
      </x:c>
      <x:c r="O100" s="56" t="n">
        <x:v>800</x:v>
      </x:c>
      <x:c r="P100" s="56" t="n">
        <x:v>3</x:v>
      </x:c>
      <x:c r="Q100" s="56" t="n">
        <x:v>0.1</x:v>
      </x:c>
      <x:c r="R100" s="56" t="n">
        <x:v>310</x:v>
      </x:c>
      <x:c r="S100" s="56" t="n">
        <x:v>0.1</x:v>
      </x:c>
      <x:c r="T100" s="52" t="str">
        <x:v>#2563EB</x:v>
      </x:c>
      <x:c r="U100" s="55" t="n">
        <x:v>0.85</x:v>
      </x:c>
      <x:c r="V100" s="58" t="n">
        <x:f>'Funding Categories'!M55</x:f>
        <x:v>0</x:v>
      </x:c>
      <x:c r="W100" s="52" t="str">
        <x:f>IF(V100&gt;0,"Yes","No")</x:f>
        <x:v>No</x:v>
      </x:c>
      <x:c r="X100" s="52" t="str">
        <x:v>ADA ramps; tactile guidance; accessible first/last-mile network</x:v>
      </x:c>
      <x:c r="Y100" s="52" t="str">
        <x:v>concept_only</x:v>
      </x:c>
      <x:c r="Z100" s="52" t="str">
        <x:v>planning_anchor ±25–100 m</x:v>
      </x:c>
      <x:c r="AA100" s="52" t="str">
        <x:v>engineering_assumption</x:v>
      </x:c>
      <x:c r="AB100" s="52" t="str">
        <x:v>https://www.ridemetro.org/riding-metro/houston-attractions/reliant-park</x:v>
      </x:c>
    </x:row>
    <x:row r="101">
      <x:c r="A101" s="52" t="str">
        <x:v>kansas-city-service-TMP</x:v>
      </x:c>
      <x:c r="B101" s="52" t="n">
        <x:v>5</x:v>
      </x:c>
      <x:c r="C101" s="52" t="str">
        <x:v>kansas-city</x:v>
      </x:c>
      <x:c r="D101" s="52" t="str">
        <x:v>Kansas City</x:v>
      </x:c>
      <x:c r="E101" s="52" t="str">
        <x:v>service</x:v>
      </x:c>
      <x:c r="F101" s="52" t="str">
        <x:v>Extra transit service</x:v>
      </x:c>
      <x:c r="G101" s="52" t="str">
        <x:v>temporary</x:v>
      </x:c>
      <x:c r="H101" s="52" t="str">
        <x:v>kc-blue-ridge-gate3</x:v>
      </x:c>
      <x:c r="I101" s="52" t="str">
        <x:v>KC-BRC</x:v>
      </x:c>
      <x:c r="J101" s="52" t="str">
        <x:v>Blue Ridge Cutoff Gate 3 and bus zone</x:v>
      </x:c>
      <x:c r="K101" s="53" t="n">
        <x:v>39.0471</x:v>
      </x:c>
      <x:c r="L101" s="53" t="n">
        <x:v>-94.4806</x:v>
      </x:c>
      <x:c r="M101" s="56" t="n">
        <x:v>350</x:v>
      </x:c>
      <x:c r="N101" s="56" t="str">
        <x:v>animated_route</x:v>
      </x:c>
      <x:c r="O101" s="56" t="n">
        <x:v>1500</x:v>
      </x:c>
      <x:c r="P101" s="56" t="n">
        <x:v>2</x:v>
      </x:c>
      <x:c r="Q101" s="56" t="n">
        <x:v>0.5</x:v>
      </x:c>
      <x:c r="R101" s="56" t="n">
        <x:v>145</x:v>
      </x:c>
      <x:c r="S101" s="56" t="n">
        <x:v>0.05</x:v>
      </x:c>
      <x:c r="T101" s="52" t="str">
        <x:v>#F59E0B</x:v>
      </x:c>
      <x:c r="U101" s="55" t="n">
        <x:v>0.55</x:v>
      </x:c>
      <x:c r="V101" s="58" t="n">
        <x:f>'Funding Categories'!L57</x:f>
        <x:v>1320000</x:v>
      </x:c>
      <x:c r="W101" s="52" t="str">
        <x:f>IF(V101&gt;0,"Yes","No")</x:f>
        <x:v>Yes</x:v>
      </x:c>
      <x:c r="X101" s="52" t="str">
        <x:v>extra rail/bus vehicle-hours; standby operators; event timetable</x:v>
      </x:c>
      <x:c r="Y101" s="52" t="str">
        <x:v>concept_only</x:v>
      </x:c>
      <x:c r="Z101" s="52" t="str">
        <x:v>planning_anchor ±25–100 m</x:v>
      </x:c>
      <x:c r="AA101" s="52" t="str">
        <x:v>engineering_assumption</x:v>
      </x:c>
      <x:c r="AB101" s="52" t="str">
        <x:v>https://www.arrowheadstadiumkc.com/plan-your-visit/parking-tailgating/maps-directions</x:v>
      </x:c>
    </x:row>
    <x:row r="102">
      <x:c r="A102" s="52" t="str">
        <x:v>kansas-city-service-PERM</x:v>
      </x:c>
      <x:c r="B102" s="52" t="n">
        <x:v>5</x:v>
      </x:c>
      <x:c r="C102" s="52" t="str">
        <x:v>kansas-city</x:v>
      </x:c>
      <x:c r="D102" s="52" t="str">
        <x:v>Kansas City</x:v>
      </x:c>
      <x:c r="E102" s="52" t="str">
        <x:v>service</x:v>
      </x:c>
      <x:c r="F102" s="52" t="str">
        <x:v>Extra transit service</x:v>
      </x:c>
      <x:c r="G102" s="52" t="str">
        <x:v>permanent</x:v>
      </x:c>
      <x:c r="H102" s="52" t="str">
        <x:v>kc-blue-ridge-gate3</x:v>
      </x:c>
      <x:c r="I102" s="52" t="str">
        <x:v>KC-BRC</x:v>
      </x:c>
      <x:c r="J102" s="52" t="str">
        <x:v>Blue Ridge Cutoff Gate 3 and bus zone</x:v>
      </x:c>
      <x:c r="K102" s="53" t="n">
        <x:v>39.0471</x:v>
      </x:c>
      <x:c r="L102" s="53" t="n">
        <x:v>-94.4806</x:v>
      </x:c>
      <x:c r="M102" s="56" t="n">
        <x:v>350</x:v>
      </x:c>
      <x:c r="N102" s="56" t="str">
        <x:v>animated_route</x:v>
      </x:c>
      <x:c r="O102" s="56" t="n">
        <x:v>1500</x:v>
      </x:c>
      <x:c r="P102" s="56" t="n">
        <x:v>2</x:v>
      </x:c>
      <x:c r="Q102" s="56" t="n">
        <x:v>1</x:v>
      </x:c>
      <x:c r="R102" s="56" t="n">
        <x:v>152</x:v>
      </x:c>
      <x:c r="S102" s="56" t="n">
        <x:v>0.1</x:v>
      </x:c>
      <x:c r="T102" s="52" t="str">
        <x:v>#2563EB</x:v>
      </x:c>
      <x:c r="U102" s="55" t="n">
        <x:v>0.85</x:v>
      </x:c>
      <x:c r="V102" s="58" t="n">
        <x:f>'Funding Categories'!M57</x:f>
        <x:v>330000</x:v>
      </x:c>
      <x:c r="W102" s="52" t="str">
        <x:f>IF(V102&gt;0,"Yes","No")</x:f>
        <x:v>Yes</x:v>
      </x:c>
      <x:c r="X102" s="52" t="str">
        <x:v>recurring major-event service plan; fleet and stabling readiness</x:v>
      </x:c>
      <x:c r="Y102" s="52" t="str">
        <x:v>concept_only</x:v>
      </x:c>
      <x:c r="Z102" s="52" t="str">
        <x:v>planning_anchor ±25–100 m</x:v>
      </x:c>
      <x:c r="AA102" s="52" t="str">
        <x:v>engineering_assumption</x:v>
      </x:c>
      <x:c r="AB102" s="52" t="str">
        <x:v>https://www.arrowheadstadiumkc.com/plan-your-visit/parking-tailgating/maps-directions</x:v>
      </x:c>
    </x:row>
    <x:row r="103">
      <x:c r="A103" s="52" t="str">
        <x:v>kansas-city-buslane-TMP</x:v>
      </x:c>
      <x:c r="B103" s="52" t="n">
        <x:v>5</x:v>
      </x:c>
      <x:c r="C103" s="52" t="str">
        <x:v>kansas-city</x:v>
      </x:c>
      <x:c r="D103" s="52" t="str">
        <x:v>Kansas City</x:v>
      </x:c>
      <x:c r="E103" s="52" t="str">
        <x:v>buslane</x:v>
      </x:c>
      <x:c r="F103" s="52" t="str">
        <x:v>Transit-priority lanes</x:v>
      </x:c>
      <x:c r="G103" s="52" t="str">
        <x:v>temporary</x:v>
      </x:c>
      <x:c r="H103" s="52" t="str">
        <x:v>kc-west-plaza</x:v>
      </x:c>
      <x:c r="I103" s="52" t="str">
        <x:v>KC-WPL</x:v>
      </x:c>
      <x:c r="J103" s="52" t="str">
        <x:v>Arrowhead west parking and plaza approach</x:v>
      </x:c>
      <x:c r="K103" s="53" t="n">
        <x:v>39.0491</x:v>
      </x:c>
      <x:c r="L103" s="53" t="n">
        <x:v>-94.4871</x:v>
      </x:c>
      <x:c r="M103" s="56" t="n">
        <x:v>400</x:v>
      </x:c>
      <x:c r="N103" s="56" t="str">
        <x:v>line_extrusion</x:v>
      </x:c>
      <x:c r="O103" s="56" t="n">
        <x:v>3200</x:v>
      </x:c>
      <x:c r="P103" s="56" t="n">
        <x:v>3.5</x:v>
      </x:c>
      <x:c r="Q103" s="56" t="n">
        <x:v>0.1</x:v>
      </x:c>
      <x:c r="R103" s="56" t="n">
        <x:v>162</x:v>
      </x:c>
      <x:c r="S103" s="56" t="n">
        <x:v>0.05</x:v>
      </x:c>
      <x:c r="T103" s="52" t="str">
        <x:v>#F59E0B</x:v>
      </x:c>
      <x:c r="U103" s="55" t="n">
        <x:v>0.55</x:v>
      </x:c>
      <x:c r="V103" s="58" t="n">
        <x:f>'Funding Categories'!L58</x:f>
        <x:v>648000</x:v>
      </x:c>
      <x:c r="W103" s="52" t="str">
        <x:f>IF(V103&gt;0,"Yes","No")</x:f>
        <x:v>Yes</x:v>
      </x:c>
      <x:c r="X103" s="52" t="str">
        <x:v>cone- and paint-defined bus lane with enforcement</x:v>
      </x:c>
      <x:c r="Y103" s="52" t="str">
        <x:v>concept_only</x:v>
      </x:c>
      <x:c r="Z103" s="52" t="str">
        <x:v>planning_anchor ±25–100 m</x:v>
      </x:c>
      <x:c r="AA103" s="52" t="str">
        <x:v>engineering_assumption</x:v>
      </x:c>
      <x:c r="AB103" s="52" t="str">
        <x:v>https://www.arrowheadstadiumkc.com/plan-your-visit/parking-tailgating/maps-directions</x:v>
      </x:c>
    </x:row>
    <x:row r="104">
      <x:c r="A104" s="52" t="str">
        <x:v>kansas-city-buslane-PERM</x:v>
      </x:c>
      <x:c r="B104" s="52" t="n">
        <x:v>5</x:v>
      </x:c>
      <x:c r="C104" s="52" t="str">
        <x:v>kansas-city</x:v>
      </x:c>
      <x:c r="D104" s="52" t="str">
        <x:v>Kansas City</x:v>
      </x:c>
      <x:c r="E104" s="52" t="str">
        <x:v>buslane</x:v>
      </x:c>
      <x:c r="F104" s="52" t="str">
        <x:v>Transit-priority lanes</x:v>
      </x:c>
      <x:c r="G104" s="52" t="str">
        <x:v>permanent</x:v>
      </x:c>
      <x:c r="H104" s="52" t="str">
        <x:v>kc-west-plaza</x:v>
      </x:c>
      <x:c r="I104" s="52" t="str">
        <x:v>KC-WPL</x:v>
      </x:c>
      <x:c r="J104" s="52" t="str">
        <x:v>Arrowhead west parking and plaza approach</x:v>
      </x:c>
      <x:c r="K104" s="53" t="n">
        <x:v>39.0491</x:v>
      </x:c>
      <x:c r="L104" s="53" t="n">
        <x:v>-94.4871</x:v>
      </x:c>
      <x:c r="M104" s="56" t="n">
        <x:v>400</x:v>
      </x:c>
      <x:c r="N104" s="56" t="str">
        <x:v>line_extrusion</x:v>
      </x:c>
      <x:c r="O104" s="56" t="n">
        <x:v>3200</x:v>
      </x:c>
      <x:c r="P104" s="56" t="n">
        <x:v>3.5</x:v>
      </x:c>
      <x:c r="Q104" s="56" t="n">
        <x:v>0.1</x:v>
      </x:c>
      <x:c r="R104" s="56" t="n">
        <x:v>169</x:v>
      </x:c>
      <x:c r="S104" s="56" t="n">
        <x:v>0.1</x:v>
      </x:c>
      <x:c r="T104" s="52" t="str">
        <x:v>#2563EB</x:v>
      </x:c>
      <x:c r="U104" s="55" t="n">
        <x:v>0.85</x:v>
      </x:c>
      <x:c r="V104" s="58" t="n">
        <x:f>'Funding Categories'!M58</x:f>
        <x:v>792000</x:v>
      </x:c>
      <x:c r="W104" s="52" t="str">
        <x:f>IF(V104&gt;0,"Yes","No")</x:f>
        <x:v>Yes</x:v>
      </x:c>
      <x:c r="X104" s="52" t="str">
        <x:v>dedicated or peak-period transit-priority lane</x:v>
      </x:c>
      <x:c r="Y104" s="52" t="str">
        <x:v>concept_only</x:v>
      </x:c>
      <x:c r="Z104" s="52" t="str">
        <x:v>planning_anchor ±25–100 m</x:v>
      </x:c>
      <x:c r="AA104" s="52" t="str">
        <x:v>engineering_assumption</x:v>
      </x:c>
      <x:c r="AB104" s="52" t="str">
        <x:v>https://www.arrowheadstadiumkc.com/plan-your-visit/parking-tailgating/maps-directions</x:v>
      </x:c>
    </x:row>
    <x:row r="105">
      <x:c r="A105" s="52" t="str">
        <x:v>kansas-city-signals-TMP</x:v>
      </x:c>
      <x:c r="B105" s="52" t="n">
        <x:v>5</x:v>
      </x:c>
      <x:c r="C105" s="52" t="str">
        <x:v>kansas-city</x:v>
      </x:c>
      <x:c r="D105" s="52" t="str">
        <x:v>Kansas City</x:v>
      </x:c>
      <x:c r="E105" s="52" t="str">
        <x:v>signals</x:v>
      </x:c>
      <x:c r="F105" s="52" t="str">
        <x:v>Signal timing plans</x:v>
      </x:c>
      <x:c r="G105" s="52" t="str">
        <x:v>temporary</x:v>
      </x:c>
      <x:c r="H105" s="52" t="str">
        <x:v>kc-west-plaza</x:v>
      </x:c>
      <x:c r="I105" s="52" t="str">
        <x:v>KC-WPL</x:v>
      </x:c>
      <x:c r="J105" s="52" t="str">
        <x:v>Arrowhead west parking and plaza approach</x:v>
      </x:c>
      <x:c r="K105" s="53" t="n">
        <x:v>39.0491</x:v>
      </x:c>
      <x:c r="L105" s="53" t="n">
        <x:v>-94.4871</x:v>
      </x:c>
      <x:c r="M105" s="56" t="n">
        <x:v>400</x:v>
      </x:c>
      <x:c r="N105" s="56" t="str">
        <x:v>point_model</x:v>
      </x:c>
      <x:c r="O105" s="56" t="n">
        <x:v>1</x:v>
      </x:c>
      <x:c r="P105" s="56" t="n">
        <x:v>1</x:v>
      </x:c>
      <x:c r="Q105" s="56" t="n">
        <x:v>3</x:v>
      </x:c>
      <x:c r="R105" s="56" t="n">
        <x:v>179</x:v>
      </x:c>
      <x:c r="S105" s="56" t="n">
        <x:v>0.05</x:v>
      </x:c>
      <x:c r="T105" s="52" t="str">
        <x:v>#F59E0B</x:v>
      </x:c>
      <x:c r="U105" s="55" t="n">
        <x:v>0.55</x:v>
      </x:c>
      <x:c r="V105" s="58" t="n">
        <x:f>'Funding Categories'!L59</x:f>
        <x:v>90000</x:v>
      </x:c>
      <x:c r="W105" s="52" t="str">
        <x:f>IF(V105&gt;0,"Yes","No")</x:f>
        <x:v>Yes</x:v>
      </x:c>
      <x:c r="X105" s="52" t="str">
        <x:v>police/manual traffic control and temporary timing plan</x:v>
      </x:c>
      <x:c r="Y105" s="52" t="str">
        <x:v>concept_only</x:v>
      </x:c>
      <x:c r="Z105" s="52" t="str">
        <x:v>planning_anchor ±25–100 m</x:v>
      </x:c>
      <x:c r="AA105" s="52" t="str">
        <x:v>engineering_assumption</x:v>
      </x:c>
      <x:c r="AB105" s="52" t="str">
        <x:v>https://www.arrowheadstadiumkc.com/plan-your-visit/parking-tailgating/maps-directions</x:v>
      </x:c>
    </x:row>
    <x:row r="106">
      <x:c r="A106" s="52" t="str">
        <x:v>kansas-city-signals-PERM</x:v>
      </x:c>
      <x:c r="B106" s="52" t="n">
        <x:v>5</x:v>
      </x:c>
      <x:c r="C106" s="52" t="str">
        <x:v>kansas-city</x:v>
      </x:c>
      <x:c r="D106" s="52" t="str">
        <x:v>Kansas City</x:v>
      </x:c>
      <x:c r="E106" s="52" t="str">
        <x:v>signals</x:v>
      </x:c>
      <x:c r="F106" s="52" t="str">
        <x:v>Signal timing plans</x:v>
      </x:c>
      <x:c r="G106" s="52" t="str">
        <x:v>permanent</x:v>
      </x:c>
      <x:c r="H106" s="52" t="str">
        <x:v>kc-west-plaza</x:v>
      </x:c>
      <x:c r="I106" s="52" t="str">
        <x:v>KC-WPL</x:v>
      </x:c>
      <x:c r="J106" s="52" t="str">
        <x:v>Arrowhead west parking and plaza approach</x:v>
      </x:c>
      <x:c r="K106" s="53" t="n">
        <x:v>39.0491</x:v>
      </x:c>
      <x:c r="L106" s="53" t="n">
        <x:v>-94.4871</x:v>
      </x:c>
      <x:c r="M106" s="56" t="n">
        <x:v>400</x:v>
      </x:c>
      <x:c r="N106" s="56" t="str">
        <x:v>point_model</x:v>
      </x:c>
      <x:c r="O106" s="56" t="n">
        <x:v>1</x:v>
      </x:c>
      <x:c r="P106" s="56" t="n">
        <x:v>1</x:v>
      </x:c>
      <x:c r="Q106" s="56" t="n">
        <x:v>6</x:v>
      </x:c>
      <x:c r="R106" s="56" t="n">
        <x:v>186</x:v>
      </x:c>
      <x:c r="S106" s="56" t="n">
        <x:v>0.1</x:v>
      </x:c>
      <x:c r="T106" s="52" t="str">
        <x:v>#2563EB</x:v>
      </x:c>
      <x:c r="U106" s="55" t="n">
        <x:v>0.85</x:v>
      </x:c>
      <x:c r="V106" s="58" t="n">
        <x:f>'Funding Categories'!M59</x:f>
        <x:v>270000</x:v>
      </x:c>
      <x:c r="W106" s="52" t="str">
        <x:f>IF(V106&gt;0,"Yes","No")</x:f>
        <x:v>Yes</x:v>
      </x:c>
      <x:c r="X106" s="52" t="str">
        <x:v>adaptive controllers and transit signal priority</x:v>
      </x:c>
      <x:c r="Y106" s="52" t="str">
        <x:v>concept_only</x:v>
      </x:c>
      <x:c r="Z106" s="52" t="str">
        <x:v>planning_anchor ±25–100 m</x:v>
      </x:c>
      <x:c r="AA106" s="52" t="str">
        <x:v>engineering_assumption</x:v>
      </x:c>
      <x:c r="AB106" s="52" t="str">
        <x:v>https://www.arrowheadstadiumkc.com/plan-your-visit/parking-tailgating/maps-directions</x:v>
      </x:c>
    </x:row>
    <x:row r="107">
      <x:c r="A107" s="52" t="str">
        <x:v>kansas-city-hub-TMP</x:v>
      </x:c>
      <x:c r="B107" s="52" t="n">
        <x:v>5</x:v>
      </x:c>
      <x:c r="C107" s="52" t="str">
        <x:v>kansas-city</x:v>
      </x:c>
      <x:c r="D107" s="52" t="str">
        <x:v>Kansas City</x:v>
      </x:c>
      <x:c r="E107" s="52" t="str">
        <x:v>hub</x:v>
      </x:c>
      <x:c r="F107" s="52" t="str">
        <x:v>Hub-to-stadium shuttle package</x:v>
      </x:c>
      <x:c r="G107" s="52" t="str">
        <x:v>temporary</x:v>
      </x:c>
      <x:c r="H107" s="52" t="str">
        <x:v>kc-west-plaza</x:v>
      </x:c>
      <x:c r="I107" s="52" t="str">
        <x:v>KC-WPL</x:v>
      </x:c>
      <x:c r="J107" s="52" t="str">
        <x:v>Arrowhead west parking and plaza approach</x:v>
      </x:c>
      <x:c r="K107" s="53" t="n">
        <x:v>39.0491</x:v>
      </x:c>
      <x:c r="L107" s="53" t="n">
        <x:v>-94.4871</x:v>
      </x:c>
      <x:c r="M107" s="56" t="n">
        <x:v>400</x:v>
      </x:c>
      <x:c r="N107" s="56" t="str">
        <x:v>polygon_extrusion</x:v>
      </x:c>
      <x:c r="O107" s="56" t="n">
        <x:v>90</x:v>
      </x:c>
      <x:c r="P107" s="56" t="n">
        <x:v>60</x:v>
      </x:c>
      <x:c r="Q107" s="56" t="n">
        <x:v>3</x:v>
      </x:c>
      <x:c r="R107" s="56" t="n">
        <x:v>196</x:v>
      </x:c>
      <x:c r="S107" s="56" t="n">
        <x:v>0.05</x:v>
      </x:c>
      <x:c r="T107" s="52" t="str">
        <x:v>#F59E0B</x:v>
      </x:c>
      <x:c r="U107" s="55" t="n">
        <x:v>0.55</x:v>
      </x:c>
      <x:c r="V107" s="58" t="n">
        <x:f>'Funding Categories'!L60</x:f>
        <x:v>900000</x:v>
      </x:c>
      <x:c r="W107" s="52" t="str">
        <x:f>IF(V107&gt;0,"Yes","No")</x:f>
        <x:v>Yes</x:v>
      </x:c>
      <x:c r="X107" s="52" t="str">
        <x:v>pop-up shuttle zone; temporary shelters and dispatch</x:v>
      </x:c>
      <x:c r="Y107" s="52" t="str">
        <x:v>concept_only</x:v>
      </x:c>
      <x:c r="Z107" s="52" t="str">
        <x:v>planning_anchor ±25–100 m</x:v>
      </x:c>
      <x:c r="AA107" s="52" t="str">
        <x:v>engineering_assumption</x:v>
      </x:c>
      <x:c r="AB107" s="52" t="str">
        <x:v>https://www.arrowheadstadiumkc.com/plan-your-visit/parking-tailgating/maps-directions</x:v>
      </x:c>
    </x:row>
    <x:row r="108">
      <x:c r="A108" s="52" t="str">
        <x:v>kansas-city-hub-PERM</x:v>
      </x:c>
      <x:c r="B108" s="52" t="n">
        <x:v>5</x:v>
      </x:c>
      <x:c r="C108" s="52" t="str">
        <x:v>kansas-city</x:v>
      </x:c>
      <x:c r="D108" s="52" t="str">
        <x:v>Kansas City</x:v>
      </x:c>
      <x:c r="E108" s="52" t="str">
        <x:v>hub</x:v>
      </x:c>
      <x:c r="F108" s="52" t="str">
        <x:v>Hub-to-stadium shuttle package</x:v>
      </x:c>
      <x:c r="G108" s="52" t="str">
        <x:v>permanent</x:v>
      </x:c>
      <x:c r="H108" s="52" t="str">
        <x:v>kc-west-plaza</x:v>
      </x:c>
      <x:c r="I108" s="52" t="str">
        <x:v>KC-WPL</x:v>
      </x:c>
      <x:c r="J108" s="52" t="str">
        <x:v>Arrowhead west parking and plaza approach</x:v>
      </x:c>
      <x:c r="K108" s="53" t="n">
        <x:v>39.0491</x:v>
      </x:c>
      <x:c r="L108" s="53" t="n">
        <x:v>-94.4871</x:v>
      </x:c>
      <x:c r="M108" s="56" t="n">
        <x:v>400</x:v>
      </x:c>
      <x:c r="N108" s="56" t="str">
        <x:v>polygon_extrusion</x:v>
      </x:c>
      <x:c r="O108" s="56" t="n">
        <x:v>90</x:v>
      </x:c>
      <x:c r="P108" s="56" t="n">
        <x:v>60</x:v>
      </x:c>
      <x:c r="Q108" s="56" t="n">
        <x:v>6</x:v>
      </x:c>
      <x:c r="R108" s="56" t="n">
        <x:v>203</x:v>
      </x:c>
      <x:c r="S108" s="56" t="n">
        <x:v>0.1</x:v>
      </x:c>
      <x:c r="T108" s="52" t="str">
        <x:v>#2563EB</x:v>
      </x:c>
      <x:c r="U108" s="55" t="n">
        <x:v>0.85</x:v>
      </x:c>
      <x:c r="V108" s="58" t="n">
        <x:f>'Funding Categories'!M60</x:f>
        <x:v>1350000</x:v>
      </x:c>
      <x:c r="W108" s="52" t="str">
        <x:f>IF(V108&gt;0,"Yes","No")</x:f>
        <x:v>Yes</x:v>
      </x:c>
      <x:c r="X108" s="52" t="str">
        <x:v>permanent multimodal mobility hub</x:v>
      </x:c>
      <x:c r="Y108" s="52" t="str">
        <x:v>concept_only</x:v>
      </x:c>
      <x:c r="Z108" s="52" t="str">
        <x:v>planning_anchor ±25–100 m</x:v>
      </x:c>
      <x:c r="AA108" s="52" t="str">
        <x:v>engineering_assumption</x:v>
      </x:c>
      <x:c r="AB108" s="52" t="str">
        <x:v>https://www.arrowheadstadiumkc.com/plan-your-visit/parking-tailgating/maps-directions</x:v>
      </x:c>
    </x:row>
    <x:row r="109">
      <x:c r="A109" s="52" t="str">
        <x:v>kansas-city-parkride-TMP</x:v>
      </x:c>
      <x:c r="B109" s="52" t="n">
        <x:v>5</x:v>
      </x:c>
      <x:c r="C109" s="52" t="str">
        <x:v>kansas-city</x:v>
      </x:c>
      <x:c r="D109" s="52" t="str">
        <x:v>Kansas City</x:v>
      </x:c>
      <x:c r="E109" s="52" t="str">
        <x:v>parkride</x:v>
      </x:c>
      <x:c r="F109" s="52" t="str">
        <x:v>Park-and-ride package</x:v>
      </x:c>
      <x:c r="G109" s="52" t="str">
        <x:v>temporary</x:v>
      </x:c>
      <x:c r="H109" s="52" t="str">
        <x:v>kc-west-plaza</x:v>
      </x:c>
      <x:c r="I109" s="52" t="str">
        <x:v>KC-WPL</x:v>
      </x:c>
      <x:c r="J109" s="52" t="str">
        <x:v>Arrowhead west parking and plaza approach</x:v>
      </x:c>
      <x:c r="K109" s="53" t="n">
        <x:v>39.0491</x:v>
      </x:c>
      <x:c r="L109" s="53" t="n">
        <x:v>-94.4871</x:v>
      </x:c>
      <x:c r="M109" s="56" t="n">
        <x:v>400</x:v>
      </x:c>
      <x:c r="N109" s="56" t="str">
        <x:v>polygon_extrusion</x:v>
      </x:c>
      <x:c r="O109" s="56" t="n">
        <x:v>220</x:v>
      </x:c>
      <x:c r="P109" s="56" t="n">
        <x:v>150</x:v>
      </x:c>
      <x:c r="Q109" s="56" t="n">
        <x:v>0.2</x:v>
      </x:c>
      <x:c r="R109" s="56" t="n">
        <x:v>213</x:v>
      </x:c>
      <x:c r="S109" s="56" t="n">
        <x:v>0.05</x:v>
      </x:c>
      <x:c r="T109" s="52" t="str">
        <x:v>#F59E0B</x:v>
      </x:c>
      <x:c r="U109" s="55" t="n">
        <x:v>0.55</x:v>
      </x:c>
      <x:c r="V109" s="58" t="n">
        <x:f>'Funding Categories'!L61</x:f>
        <x:v>450000</x:v>
      </x:c>
      <x:c r="W109" s="52" t="str">
        <x:f>IF(V109&gt;0,"Yes","No")</x:f>
        <x:v>Yes</x:v>
      </x:c>
      <x:c r="X109" s="52" t="str">
        <x:v>leased intercept lots and temporary signing</x:v>
      </x:c>
      <x:c r="Y109" s="52" t="str">
        <x:v>concept_only</x:v>
      </x:c>
      <x:c r="Z109" s="52" t="str">
        <x:v>planning_anchor ±25–100 m</x:v>
      </x:c>
      <x:c r="AA109" s="52" t="str">
        <x:v>engineering_assumption</x:v>
      </x:c>
      <x:c r="AB109" s="52" t="str">
        <x:v>https://www.arrowheadstadiumkc.com/plan-your-visit/parking-tailgating/maps-directions</x:v>
      </x:c>
    </x:row>
    <x:row r="110">
      <x:c r="A110" s="52" t="str">
        <x:v>kansas-city-parkride-PERM</x:v>
      </x:c>
      <x:c r="B110" s="52" t="n">
        <x:v>5</x:v>
      </x:c>
      <x:c r="C110" s="52" t="str">
        <x:v>kansas-city</x:v>
      </x:c>
      <x:c r="D110" s="52" t="str">
        <x:v>Kansas City</x:v>
      </x:c>
      <x:c r="E110" s="52" t="str">
        <x:v>parkride</x:v>
      </x:c>
      <x:c r="F110" s="52" t="str">
        <x:v>Park-and-ride package</x:v>
      </x:c>
      <x:c r="G110" s="52" t="str">
        <x:v>permanent</x:v>
      </x:c>
      <x:c r="H110" s="52" t="str">
        <x:v>kc-west-plaza</x:v>
      </x:c>
      <x:c r="I110" s="52" t="str">
        <x:v>KC-WPL</x:v>
      </x:c>
      <x:c r="J110" s="52" t="str">
        <x:v>Arrowhead west parking and plaza approach</x:v>
      </x:c>
      <x:c r="K110" s="53" t="n">
        <x:v>39.0491</x:v>
      </x:c>
      <x:c r="L110" s="53" t="n">
        <x:v>-94.4871</x:v>
      </x:c>
      <x:c r="M110" s="56" t="n">
        <x:v>400</x:v>
      </x:c>
      <x:c r="N110" s="56" t="str">
        <x:v>polygon_extrusion</x:v>
      </x:c>
      <x:c r="O110" s="56" t="n">
        <x:v>220</x:v>
      </x:c>
      <x:c r="P110" s="56" t="n">
        <x:v>150</x:v>
      </x:c>
      <x:c r="Q110" s="56" t="n">
        <x:v>0.2</x:v>
      </x:c>
      <x:c r="R110" s="56" t="n">
        <x:v>220</x:v>
      </x:c>
      <x:c r="S110" s="56" t="n">
        <x:v>0.1</x:v>
      </x:c>
      <x:c r="T110" s="52" t="str">
        <x:v>#2563EB</x:v>
      </x:c>
      <x:c r="U110" s="55" t="n">
        <x:v>0.85</x:v>
      </x:c>
      <x:c r="V110" s="58" t="n">
        <x:f>'Funding Categories'!M61</x:f>
        <x:v>450000</x:v>
      </x:c>
      <x:c r="W110" s="52" t="str">
        <x:f>IF(V110&gt;0,"Yes","No")</x:f>
        <x:v>Yes</x:v>
      </x:c>
      <x:c r="X110" s="52" t="str">
        <x:v>permanent park-and-ride with charging and transit access</x:v>
      </x:c>
      <x:c r="Y110" s="52" t="str">
        <x:v>concept_only</x:v>
      </x:c>
      <x:c r="Z110" s="52" t="str">
        <x:v>planning_anchor ±25–100 m</x:v>
      </x:c>
      <x:c r="AA110" s="52" t="str">
        <x:v>engineering_assumption</x:v>
      </x:c>
      <x:c r="AB110" s="52" t="str">
        <x:v>https://www.arrowheadstadiumkc.com/plan-your-visit/parking-tailgating/maps-directions</x:v>
      </x:c>
    </x:row>
    <x:row r="111">
      <x:c r="A111" s="52" t="str">
        <x:v>kansas-city-ped-TMP</x:v>
      </x:c>
      <x:c r="B111" s="52" t="n">
        <x:v>5</x:v>
      </x:c>
      <x:c r="C111" s="52" t="str">
        <x:v>kansas-city</x:v>
      </x:c>
      <x:c r="D111" s="52" t="str">
        <x:v>Kansas City</x:v>
      </x:c>
      <x:c r="E111" s="52" t="str">
        <x:v>ped</x:v>
      </x:c>
      <x:c r="F111" s="52" t="str">
        <x:v>Protected pedestrian corridor</x:v>
      </x:c>
      <x:c r="G111" s="52" t="str">
        <x:v>temporary</x:v>
      </x:c>
      <x:c r="H111" s="52" t="str">
        <x:v>kc-blue-ridge-gate3</x:v>
      </x:c>
      <x:c r="I111" s="52" t="str">
        <x:v>KC-BRC</x:v>
      </x:c>
      <x:c r="J111" s="52" t="str">
        <x:v>Blue Ridge Cutoff Gate 3 and bus zone</x:v>
      </x:c>
      <x:c r="K111" s="53" t="n">
        <x:v>39.0471</x:v>
      </x:c>
      <x:c r="L111" s="53" t="n">
        <x:v>-94.4806</x:v>
      </x:c>
      <x:c r="M111" s="56" t="n">
        <x:v>350</x:v>
      </x:c>
      <x:c r="N111" s="56" t="str">
        <x:v>line_extrusion</x:v>
      </x:c>
      <x:c r="O111" s="56" t="n">
        <x:v>1600</x:v>
      </x:c>
      <x:c r="P111" s="56" t="n">
        <x:v>6</x:v>
      </x:c>
      <x:c r="Q111" s="56" t="n">
        <x:v>0.15</x:v>
      </x:c>
      <x:c r="R111" s="56" t="n">
        <x:v>230</x:v>
      </x:c>
      <x:c r="S111" s="56" t="n">
        <x:v>0.05</x:v>
      </x:c>
      <x:c r="T111" s="52" t="str">
        <x:v>#F59E0B</x:v>
      </x:c>
      <x:c r="U111" s="55" t="n">
        <x:v>0.55</x:v>
      </x:c>
      <x:c r="V111" s="58" t="n">
        <x:f>'Funding Categories'!L62</x:f>
        <x:v>0</x:v>
      </x:c>
      <x:c r="W111" s="52" t="str">
        <x:f>IF(V111&gt;0,"Yes","No")</x:f>
        <x:v>No</x:v>
      </x:c>
      <x:c r="X111" s="52" t="str">
        <x:v>barricaded protected corridor; marshals and lighting</x:v>
      </x:c>
      <x:c r="Y111" s="52" t="str">
        <x:v>concept_only</x:v>
      </x:c>
      <x:c r="Z111" s="52" t="str">
        <x:v>planning_anchor ±25–100 m</x:v>
      </x:c>
      <x:c r="AA111" s="52" t="str">
        <x:v>engineering_assumption</x:v>
      </x:c>
      <x:c r="AB111" s="52" t="str">
        <x:v>https://www.arrowheadstadiumkc.com/plan-your-visit/parking-tailgating/maps-directions</x:v>
      </x:c>
    </x:row>
    <x:row r="112">
      <x:c r="A112" s="52" t="str">
        <x:v>kansas-city-ped-PERM</x:v>
      </x:c>
      <x:c r="B112" s="52" t="n">
        <x:v>5</x:v>
      </x:c>
      <x:c r="C112" s="52" t="str">
        <x:v>kansas-city</x:v>
      </x:c>
      <x:c r="D112" s="52" t="str">
        <x:v>Kansas City</x:v>
      </x:c>
      <x:c r="E112" s="52" t="str">
        <x:v>ped</x:v>
      </x:c>
      <x:c r="F112" s="52" t="str">
        <x:v>Protected pedestrian corridor</x:v>
      </x:c>
      <x:c r="G112" s="52" t="str">
        <x:v>permanent</x:v>
      </x:c>
      <x:c r="H112" s="52" t="str">
        <x:v>kc-blue-ridge-gate3</x:v>
      </x:c>
      <x:c r="I112" s="52" t="str">
        <x:v>KC-BRC</x:v>
      </x:c>
      <x:c r="J112" s="52" t="str">
        <x:v>Blue Ridge Cutoff Gate 3 and bus zone</x:v>
      </x:c>
      <x:c r="K112" s="53" t="n">
        <x:v>39.0471</x:v>
      </x:c>
      <x:c r="L112" s="53" t="n">
        <x:v>-94.4806</x:v>
      </x:c>
      <x:c r="M112" s="56" t="n">
        <x:v>350</x:v>
      </x:c>
      <x:c r="N112" s="56" t="str">
        <x:v>line_extrusion</x:v>
      </x:c>
      <x:c r="O112" s="56" t="n">
        <x:v>1600</x:v>
      </x:c>
      <x:c r="P112" s="56" t="n">
        <x:v>6</x:v>
      </x:c>
      <x:c r="Q112" s="56" t="n">
        <x:v>0.15</x:v>
      </x:c>
      <x:c r="R112" s="56" t="n">
        <x:v>237</x:v>
      </x:c>
      <x:c r="S112" s="56" t="n">
        <x:v>0.1</x:v>
      </x:c>
      <x:c r="T112" s="52" t="str">
        <x:v>#0F766E</x:v>
      </x:c>
      <x:c r="U112" s="55" t="n">
        <x:v>0.85</x:v>
      </x:c>
      <x:c r="V112" s="58" t="n">
        <x:f>'Funding Categories'!M62</x:f>
        <x:v>0</x:v>
      </x:c>
      <x:c r="W112" s="52" t="str">
        <x:f>IF(V112&gt;0,"Yes","No")</x:f>
        <x:v>No</x:v>
      </x:c>
      <x:c r="X112" s="52" t="str">
        <x:v>widened sidewalk; lighting; drainage and separation</x:v>
      </x:c>
      <x:c r="Y112" s="52" t="str">
        <x:v>concept_only</x:v>
      </x:c>
      <x:c r="Z112" s="52" t="str">
        <x:v>planning_anchor ±25–100 m</x:v>
      </x:c>
      <x:c r="AA112" s="52" t="str">
        <x:v>engineering_assumption</x:v>
      </x:c>
      <x:c r="AB112" s="52" t="str">
        <x:v>https://www.arrowheadstadiumkc.com/plan-your-visit/parking-tailgating/maps-directions</x:v>
      </x:c>
    </x:row>
    <x:row r="113">
      <x:c r="A113" s="52" t="str">
        <x:v>kansas-city-bike-TMP</x:v>
      </x:c>
      <x:c r="B113" s="52" t="n">
        <x:v>5</x:v>
      </x:c>
      <x:c r="C113" s="52" t="str">
        <x:v>kansas-city</x:v>
      </x:c>
      <x:c r="D113" s="52" t="str">
        <x:v>Kansas City</x:v>
      </x:c>
      <x:c r="E113" s="52" t="str">
        <x:v>bike</x:v>
      </x:c>
      <x:c r="F113" s="52" t="str">
        <x:v>Protected bicycle access</x:v>
      </x:c>
      <x:c r="G113" s="52" t="str">
        <x:v>temporary</x:v>
      </x:c>
      <x:c r="H113" s="52" t="str">
        <x:v>kc-blue-ridge-gate3</x:v>
      </x:c>
      <x:c r="I113" s="52" t="str">
        <x:v>KC-BRC</x:v>
      </x:c>
      <x:c r="J113" s="52" t="str">
        <x:v>Blue Ridge Cutoff Gate 3 and bus zone</x:v>
      </x:c>
      <x:c r="K113" s="53" t="n">
        <x:v>39.0471</x:v>
      </x:c>
      <x:c r="L113" s="53" t="n">
        <x:v>-94.4806</x:v>
      </x:c>
      <x:c r="M113" s="56" t="n">
        <x:v>350</x:v>
      </x:c>
      <x:c r="N113" s="56" t="str">
        <x:v>line_extrusion</x:v>
      </x:c>
      <x:c r="O113" s="56" t="n">
        <x:v>3200</x:v>
      </x:c>
      <x:c r="P113" s="56" t="n">
        <x:v>3</x:v>
      </x:c>
      <x:c r="Q113" s="56" t="n">
        <x:v>0.1</x:v>
      </x:c>
      <x:c r="R113" s="56" t="n">
        <x:v>247</x:v>
      </x:c>
      <x:c r="S113" s="56" t="n">
        <x:v>0.05</x:v>
      </x:c>
      <x:c r="T113" s="52" t="str">
        <x:v>#F59E0B</x:v>
      </x:c>
      <x:c r="U113" s="55" t="n">
        <x:v>0.55</x:v>
      </x:c>
      <x:c r="V113" s="58" t="n">
        <x:f>'Funding Categories'!L63</x:f>
        <x:v>0</x:v>
      </x:c>
      <x:c r="W113" s="52" t="str">
        <x:f>IF(V113&gt;0,"Yes","No")</x:f>
        <x:v>No</x:v>
      </x:c>
      <x:c r="X113" s="52" t="str">
        <x:v>pop-up protected lane and attended bike valet</x:v>
      </x:c>
      <x:c r="Y113" s="52" t="str">
        <x:v>concept_only</x:v>
      </x:c>
      <x:c r="Z113" s="52" t="str">
        <x:v>planning_anchor ±25–100 m</x:v>
      </x:c>
      <x:c r="AA113" s="52" t="str">
        <x:v>engineering_assumption</x:v>
      </x:c>
      <x:c r="AB113" s="52" t="str">
        <x:v>https://www.arrowheadstadiumkc.com/plan-your-visit/parking-tailgating/maps-directions</x:v>
      </x:c>
    </x:row>
    <x:row r="114">
      <x:c r="A114" s="52" t="str">
        <x:v>kansas-city-bike-PERM</x:v>
      </x:c>
      <x:c r="B114" s="52" t="n">
        <x:v>5</x:v>
      </x:c>
      <x:c r="C114" s="52" t="str">
        <x:v>kansas-city</x:v>
      </x:c>
      <x:c r="D114" s="52" t="str">
        <x:v>Kansas City</x:v>
      </x:c>
      <x:c r="E114" s="52" t="str">
        <x:v>bike</x:v>
      </x:c>
      <x:c r="F114" s="52" t="str">
        <x:v>Protected bicycle access</x:v>
      </x:c>
      <x:c r="G114" s="52" t="str">
        <x:v>permanent</x:v>
      </x:c>
      <x:c r="H114" s="52" t="str">
        <x:v>kc-blue-ridge-gate3</x:v>
      </x:c>
      <x:c r="I114" s="52" t="str">
        <x:v>KC-BRC</x:v>
      </x:c>
      <x:c r="J114" s="52" t="str">
        <x:v>Blue Ridge Cutoff Gate 3 and bus zone</x:v>
      </x:c>
      <x:c r="K114" s="53" t="n">
        <x:v>39.0471</x:v>
      </x:c>
      <x:c r="L114" s="53" t="n">
        <x:v>-94.4806</x:v>
      </x:c>
      <x:c r="M114" s="56" t="n">
        <x:v>350</x:v>
      </x:c>
      <x:c r="N114" s="56" t="str">
        <x:v>line_extrusion</x:v>
      </x:c>
      <x:c r="O114" s="56" t="n">
        <x:v>3200</x:v>
      </x:c>
      <x:c r="P114" s="56" t="n">
        <x:v>3</x:v>
      </x:c>
      <x:c r="Q114" s="56" t="n">
        <x:v>0.1</x:v>
      </x:c>
      <x:c r="R114" s="56" t="n">
        <x:v>254</x:v>
      </x:c>
      <x:c r="S114" s="56" t="n">
        <x:v>0.1</x:v>
      </x:c>
      <x:c r="T114" s="52" t="str">
        <x:v>#0F766E</x:v>
      </x:c>
      <x:c r="U114" s="55" t="n">
        <x:v>0.85</x:v>
      </x:c>
      <x:c r="V114" s="58" t="n">
        <x:f>'Funding Categories'!M63</x:f>
        <x:v>0</x:v>
      </x:c>
      <x:c r="W114" s="52" t="str">
        <x:f>IF(V114&gt;0,"Yes","No")</x:f>
        <x:v>No</x:v>
      </x:c>
      <x:c r="X114" s="52" t="str">
        <x:v>protected bikeway and secure long-term parking</x:v>
      </x:c>
      <x:c r="Y114" s="52" t="str">
        <x:v>concept_only</x:v>
      </x:c>
      <x:c r="Z114" s="52" t="str">
        <x:v>planning_anchor ±25–100 m</x:v>
      </x:c>
      <x:c r="AA114" s="52" t="str">
        <x:v>engineering_assumption</x:v>
      </x:c>
      <x:c r="AB114" s="52" t="str">
        <x:v>https://www.arrowheadstadiumkc.com/plan-your-visit/parking-tailgating/maps-directions</x:v>
      </x:c>
    </x:row>
    <x:row r="115">
      <x:c r="A115" s="52" t="str">
        <x:v>kansas-city-tnc-TMP</x:v>
      </x:c>
      <x:c r="B115" s="52" t="n">
        <x:v>5</x:v>
      </x:c>
      <x:c r="C115" s="52" t="str">
        <x:v>kansas-city</x:v>
      </x:c>
      <x:c r="D115" s="52" t="str">
        <x:v>Kansas City</x:v>
      </x:c>
      <x:c r="E115" s="52" t="str">
        <x:v>tnc</x:v>
      </x:c>
      <x:c r="F115" s="52" t="str">
        <x:v>Managed rideshare hub</x:v>
      </x:c>
      <x:c r="G115" s="52" t="str">
        <x:v>temporary</x:v>
      </x:c>
      <x:c r="H115" s="52" t="str">
        <x:v>kc-west-plaza</x:v>
      </x:c>
      <x:c r="I115" s="52" t="str">
        <x:v>KC-WPL</x:v>
      </x:c>
      <x:c r="J115" s="52" t="str">
        <x:v>Arrowhead west parking and plaza approach</x:v>
      </x:c>
      <x:c r="K115" s="53" t="n">
        <x:v>39.0491</x:v>
      </x:c>
      <x:c r="L115" s="53" t="n">
        <x:v>-94.4871</x:v>
      </x:c>
      <x:c r="M115" s="56" t="n">
        <x:v>400</x:v>
      </x:c>
      <x:c r="N115" s="56" t="str">
        <x:v>polygon_extrusion</x:v>
      </x:c>
      <x:c r="O115" s="56" t="n">
        <x:v>70</x:v>
      </x:c>
      <x:c r="P115" s="56" t="n">
        <x:v>45</x:v>
      </x:c>
      <x:c r="Q115" s="56" t="n">
        <x:v>0.2</x:v>
      </x:c>
      <x:c r="R115" s="56" t="n">
        <x:v>264</x:v>
      </x:c>
      <x:c r="S115" s="56" t="n">
        <x:v>0.05</x:v>
      </x:c>
      <x:c r="T115" s="52" t="str">
        <x:v>#F59E0B</x:v>
      </x:c>
      <x:c r="U115" s="55" t="n">
        <x:v>0.55</x:v>
      </x:c>
      <x:c r="V115" s="58" t="n">
        <x:f>'Funding Categories'!L64</x:f>
        <x:v>600000</x:v>
      </x:c>
      <x:c r="W115" s="52" t="str">
        <x:f>IF(V115&gt;0,"Yes","No")</x:f>
        <x:v>Yes</x:v>
      </x:c>
      <x:c r="X115" s="52" t="str">
        <x:v>staffed geofenced pickup with temporary lane control</x:v>
      </x:c>
      <x:c r="Y115" s="52" t="str">
        <x:v>concept_only</x:v>
      </x:c>
      <x:c r="Z115" s="52" t="str">
        <x:v>planning_anchor ±25–100 m</x:v>
      </x:c>
      <x:c r="AA115" s="52" t="str">
        <x:v>engineering_assumption</x:v>
      </x:c>
      <x:c r="AB115" s="52" t="str">
        <x:v>https://www.arrowheadstadiumkc.com/plan-your-visit/parking-tailgating/maps-directions</x:v>
      </x:c>
    </x:row>
    <x:row r="116">
      <x:c r="A116" s="52" t="str">
        <x:v>kansas-city-tnc-PERM</x:v>
      </x:c>
      <x:c r="B116" s="52" t="n">
        <x:v>5</x:v>
      </x:c>
      <x:c r="C116" s="52" t="str">
        <x:v>kansas-city</x:v>
      </x:c>
      <x:c r="D116" s="52" t="str">
        <x:v>Kansas City</x:v>
      </x:c>
      <x:c r="E116" s="52" t="str">
        <x:v>tnc</x:v>
      </x:c>
      <x:c r="F116" s="52" t="str">
        <x:v>Managed rideshare hub</x:v>
      </x:c>
      <x:c r="G116" s="52" t="str">
        <x:v>permanent</x:v>
      </x:c>
      <x:c r="H116" s="52" t="str">
        <x:v>kc-west-plaza</x:v>
      </x:c>
      <x:c r="I116" s="52" t="str">
        <x:v>KC-WPL</x:v>
      </x:c>
      <x:c r="J116" s="52" t="str">
        <x:v>Arrowhead west parking and plaza approach</x:v>
      </x:c>
      <x:c r="K116" s="53" t="n">
        <x:v>39.0491</x:v>
      </x:c>
      <x:c r="L116" s="53" t="n">
        <x:v>-94.4871</x:v>
      </x:c>
      <x:c r="M116" s="56" t="n">
        <x:v>400</x:v>
      </x:c>
      <x:c r="N116" s="56" t="str">
        <x:v>polygon_extrusion</x:v>
      </x:c>
      <x:c r="O116" s="56" t="n">
        <x:v>70</x:v>
      </x:c>
      <x:c r="P116" s="56" t="n">
        <x:v>45</x:v>
      </x:c>
      <x:c r="Q116" s="56" t="n">
        <x:v>0.2</x:v>
      </x:c>
      <x:c r="R116" s="56" t="n">
        <x:v>271</x:v>
      </x:c>
      <x:c r="S116" s="56" t="n">
        <x:v>0.1</x:v>
      </x:c>
      <x:c r="T116" s="52" t="str">
        <x:v>#2563EB</x:v>
      </x:c>
      <x:c r="U116" s="55" t="n">
        <x:v>0.85</x:v>
      </x:c>
      <x:c r="V116" s="58" t="n">
        <x:f>'Funding Categories'!M64</x:f>
        <x:v>600000</x:v>
      </x:c>
      <x:c r="W116" s="52" t="str">
        <x:f>IF(V116&gt;0,"Yes","No")</x:f>
        <x:v>Yes</x:v>
      </x:c>
      <x:c r="X116" s="52" t="str">
        <x:v>off-street rideshare hub with accessible bays</x:v>
      </x:c>
      <x:c r="Y116" s="52" t="str">
        <x:v>concept_only</x:v>
      </x:c>
      <x:c r="Z116" s="52" t="str">
        <x:v>planning_anchor ±25–100 m</x:v>
      </x:c>
      <x:c r="AA116" s="52" t="str">
        <x:v>engineering_assumption</x:v>
      </x:c>
      <x:c r="AB116" s="52" t="str">
        <x:v>https://www.arrowheadstadiumkc.com/plan-your-visit/parking-tailgating/maps-directions</x:v>
      </x:c>
    </x:row>
    <x:row r="117">
      <x:c r="A117" s="52" t="str">
        <x:v>kansas-city-wayfinding-TMP</x:v>
      </x:c>
      <x:c r="B117" s="52" t="n">
        <x:v>5</x:v>
      </x:c>
      <x:c r="C117" s="52" t="str">
        <x:v>kansas-city</x:v>
      </x:c>
      <x:c r="D117" s="52" t="str">
        <x:v>Kansas City</x:v>
      </x:c>
      <x:c r="E117" s="52" t="str">
        <x:v>wayfinding</x:v>
      </x:c>
      <x:c r="F117" s="52" t="str">
        <x:v>Multilingual wayfinding</x:v>
      </x:c>
      <x:c r="G117" s="52" t="str">
        <x:v>temporary</x:v>
      </x:c>
      <x:c r="H117" s="52" t="str">
        <x:v>kc-blue-ridge-gate3</x:v>
      </x:c>
      <x:c r="I117" s="52" t="str">
        <x:v>KC-BRC</x:v>
      </x:c>
      <x:c r="J117" s="52" t="str">
        <x:v>Blue Ridge Cutoff Gate 3 and bus zone</x:v>
      </x:c>
      <x:c r="K117" s="53" t="n">
        <x:v>39.0471</x:v>
      </x:c>
      <x:c r="L117" s="53" t="n">
        <x:v>-94.4806</x:v>
      </x:c>
      <x:c r="M117" s="56" t="n">
        <x:v>350</x:v>
      </x:c>
      <x:c r="N117" s="56" t="str">
        <x:v>point_model</x:v>
      </x:c>
      <x:c r="O117" s="56" t="n">
        <x:v>1</x:v>
      </x:c>
      <x:c r="P117" s="56" t="n">
        <x:v>1</x:v>
      </x:c>
      <x:c r="Q117" s="56" t="n">
        <x:v>2.5</x:v>
      </x:c>
      <x:c r="R117" s="56" t="n">
        <x:v>281</x:v>
      </x:c>
      <x:c r="S117" s="56" t="n">
        <x:v>0.05</x:v>
      </x:c>
      <x:c r="T117" s="52" t="str">
        <x:v>#F59E0B</x:v>
      </x:c>
      <x:c r="U117" s="55" t="n">
        <x:v>0.55</x:v>
      </x:c>
      <x:c r="V117" s="58" t="n">
        <x:f>'Funding Categories'!L65</x:f>
        <x:v>0</x:v>
      </x:c>
      <x:c r="W117" s="52" t="str">
        <x:f>IF(V117&gt;0,"Yes","No")</x:f>
        <x:v>No</x:v>
      </x:c>
      <x:c r="X117" s="52" t="str">
        <x:v>portable signs; digital messages; multilingual ambassadors</x:v>
      </x:c>
      <x:c r="Y117" s="52" t="str">
        <x:v>concept_only</x:v>
      </x:c>
      <x:c r="Z117" s="52" t="str">
        <x:v>planning_anchor ±25–100 m</x:v>
      </x:c>
      <x:c r="AA117" s="52" t="str">
        <x:v>engineering_assumption</x:v>
      </x:c>
      <x:c r="AB117" s="52" t="str">
        <x:v>https://www.arrowheadstadiumkc.com/plan-your-visit/parking-tailgating/maps-directions</x:v>
      </x:c>
    </x:row>
    <x:row r="118">
      <x:c r="A118" s="52" t="str">
        <x:v>kansas-city-wayfinding-PERM</x:v>
      </x:c>
      <x:c r="B118" s="52" t="n">
        <x:v>5</x:v>
      </x:c>
      <x:c r="C118" s="52" t="str">
        <x:v>kansas-city</x:v>
      </x:c>
      <x:c r="D118" s="52" t="str">
        <x:v>Kansas City</x:v>
      </x:c>
      <x:c r="E118" s="52" t="str">
        <x:v>wayfinding</x:v>
      </x:c>
      <x:c r="F118" s="52" t="str">
        <x:v>Multilingual wayfinding</x:v>
      </x:c>
      <x:c r="G118" s="52" t="str">
        <x:v>permanent</x:v>
      </x:c>
      <x:c r="H118" s="52" t="str">
        <x:v>kc-blue-ridge-gate3</x:v>
      </x:c>
      <x:c r="I118" s="52" t="str">
        <x:v>KC-BRC</x:v>
      </x:c>
      <x:c r="J118" s="52" t="str">
        <x:v>Blue Ridge Cutoff Gate 3 and bus zone</x:v>
      </x:c>
      <x:c r="K118" s="53" t="n">
        <x:v>39.0471</x:v>
      </x:c>
      <x:c r="L118" s="53" t="n">
        <x:v>-94.4806</x:v>
      </x:c>
      <x:c r="M118" s="56" t="n">
        <x:v>350</x:v>
      </x:c>
      <x:c r="N118" s="56" t="str">
        <x:v>point_model</x:v>
      </x:c>
      <x:c r="O118" s="56" t="n">
        <x:v>1</x:v>
      </x:c>
      <x:c r="P118" s="56" t="n">
        <x:v>1</x:v>
      </x:c>
      <x:c r="Q118" s="56" t="n">
        <x:v>4</x:v>
      </x:c>
      <x:c r="R118" s="56" t="n">
        <x:v>288</x:v>
      </x:c>
      <x:c r="S118" s="56" t="n">
        <x:v>0.1</x:v>
      </x:c>
      <x:c r="T118" s="52" t="str">
        <x:v>#2563EB</x:v>
      </x:c>
      <x:c r="U118" s="55" t="n">
        <x:v>0.85</x:v>
      </x:c>
      <x:c r="V118" s="58" t="n">
        <x:f>'Funding Categories'!M65</x:f>
        <x:v>0</x:v>
      </x:c>
      <x:c r="W118" s="52" t="str">
        <x:f>IF(V118&gt;0,"Yes","No")</x:f>
        <x:v>No</x:v>
      </x:c>
      <x:c r="X118" s="52" t="str">
        <x:v>fixed multilingual physical and digital wayfinding</x:v>
      </x:c>
      <x:c r="Y118" s="52" t="str">
        <x:v>concept_only</x:v>
      </x:c>
      <x:c r="Z118" s="52" t="str">
        <x:v>planning_anchor ±25–100 m</x:v>
      </x:c>
      <x:c r="AA118" s="52" t="str">
        <x:v>engineering_assumption</x:v>
      </x:c>
      <x:c r="AB118" s="52" t="str">
        <x:v>https://www.arrowheadstadiumkc.com/plan-your-visit/parking-tailgating/maps-directions</x:v>
      </x:c>
    </x:row>
    <x:row r="119">
      <x:c r="A119" s="52" t="str">
        <x:v>kansas-city-station-TMP</x:v>
      </x:c>
      <x:c r="B119" s="52" t="n">
        <x:v>5</x:v>
      </x:c>
      <x:c r="C119" s="52" t="str">
        <x:v>kansas-city</x:v>
      </x:c>
      <x:c r="D119" s="52" t="str">
        <x:v>Kansas City</x:v>
      </x:c>
      <x:c r="E119" s="52" t="str">
        <x:v>station</x:v>
      </x:c>
      <x:c r="F119" s="52" t="str">
        <x:v>Station-capacity package</x:v>
      </x:c>
      <x:c r="G119" s="52" t="str">
        <x:v>temporary</x:v>
      </x:c>
      <x:c r="H119" s="52" t="str">
        <x:v>kc-blue-ridge-gate3</x:v>
      </x:c>
      <x:c r="I119" s="52" t="str">
        <x:v>KC-BRC</x:v>
      </x:c>
      <x:c r="J119" s="52" t="str">
        <x:v>Blue Ridge Cutoff Gate 3 and bus zone</x:v>
      </x:c>
      <x:c r="K119" s="53" t="n">
        <x:v>39.0471</x:v>
      </x:c>
      <x:c r="L119" s="53" t="n">
        <x:v>-94.4806</x:v>
      </x:c>
      <x:c r="M119" s="56" t="n">
        <x:v>350</x:v>
      </x:c>
      <x:c r="N119" s="56" t="str">
        <x:v>glb_model</x:v>
      </x:c>
      <x:c r="O119" s="56" t="n">
        <x:v>120</x:v>
      </x:c>
      <x:c r="P119" s="56" t="n">
        <x:v>45</x:v>
      </x:c>
      <x:c r="Q119" s="56" t="n">
        <x:v>6</x:v>
      </x:c>
      <x:c r="R119" s="56" t="n">
        <x:v>298</x:v>
      </x:c>
      <x:c r="S119" s="56" t="n">
        <x:v>0.05</x:v>
      </x:c>
      <x:c r="T119" s="52" t="str">
        <x:v>#F59E0B</x:v>
      </x:c>
      <x:c r="U119" s="55" t="n">
        <x:v>0.55</x:v>
      </x:c>
      <x:c r="V119" s="58" t="n">
        <x:f>'Funding Categories'!L66</x:f>
        <x:v>0</x:v>
      </x:c>
      <x:c r="W119" s="52" t="str">
        <x:f>IF(V119&gt;0,"Yes","No")</x:f>
        <x:v>No</x:v>
      </x:c>
      <x:c r="X119" s="52" t="str">
        <x:v>temporary gates; queue barriers; portable fare equipment</x:v>
      </x:c>
      <x:c r="Y119" s="52" t="str">
        <x:v>concept_only</x:v>
      </x:c>
      <x:c r="Z119" s="52" t="str">
        <x:v>planning_anchor ±25–100 m</x:v>
      </x:c>
      <x:c r="AA119" s="52" t="str">
        <x:v>engineering_assumption</x:v>
      </x:c>
      <x:c r="AB119" s="52" t="str">
        <x:v>https://www.arrowheadstadiumkc.com/plan-your-visit/parking-tailgating/maps-directions</x:v>
      </x:c>
    </x:row>
    <x:row r="120">
      <x:c r="A120" s="52" t="str">
        <x:v>kansas-city-station-PERM</x:v>
      </x:c>
      <x:c r="B120" s="52" t="n">
        <x:v>5</x:v>
      </x:c>
      <x:c r="C120" s="52" t="str">
        <x:v>kansas-city</x:v>
      </x:c>
      <x:c r="D120" s="52" t="str">
        <x:v>Kansas City</x:v>
      </x:c>
      <x:c r="E120" s="52" t="str">
        <x:v>station</x:v>
      </x:c>
      <x:c r="F120" s="52" t="str">
        <x:v>Station-capacity package</x:v>
      </x:c>
      <x:c r="G120" s="52" t="str">
        <x:v>permanent</x:v>
      </x:c>
      <x:c r="H120" s="52" t="str">
        <x:v>kc-blue-ridge-gate3</x:v>
      </x:c>
      <x:c r="I120" s="52" t="str">
        <x:v>KC-BRC</x:v>
      </x:c>
      <x:c r="J120" s="52" t="str">
        <x:v>Blue Ridge Cutoff Gate 3 and bus zone</x:v>
      </x:c>
      <x:c r="K120" s="53" t="n">
        <x:v>39.0471</x:v>
      </x:c>
      <x:c r="L120" s="53" t="n">
        <x:v>-94.4806</x:v>
      </x:c>
      <x:c r="M120" s="56" t="n">
        <x:v>350</x:v>
      </x:c>
      <x:c r="N120" s="56" t="str">
        <x:v>glb_model</x:v>
      </x:c>
      <x:c r="O120" s="56" t="n">
        <x:v>120</x:v>
      </x:c>
      <x:c r="P120" s="56" t="n">
        <x:v>45</x:v>
      </x:c>
      <x:c r="Q120" s="56" t="n">
        <x:v>18</x:v>
      </x:c>
      <x:c r="R120" s="56" t="n">
        <x:v>305</x:v>
      </x:c>
      <x:c r="S120" s="56" t="n">
        <x:v>0.1</x:v>
      </x:c>
      <x:c r="T120" s="52" t="str">
        <x:v>#2563EB</x:v>
      </x:c>
      <x:c r="U120" s="55" t="n">
        <x:v>0.85</x:v>
      </x:c>
      <x:c r="V120" s="58" t="n">
        <x:f>'Funding Categories'!M66</x:f>
        <x:v>0</x:v>
      </x:c>
      <x:c r="W120" s="52" t="str">
        <x:f>IF(V120&gt;0,"Yes","No")</x:f>
        <x:v>No</x:v>
      </x:c>
      <x:c r="X120" s="52" t="str">
        <x:v>platform, entry and circulation expansion</x:v>
      </x:c>
      <x:c r="Y120" s="52" t="str">
        <x:v>concept_only</x:v>
      </x:c>
      <x:c r="Z120" s="52" t="str">
        <x:v>planning_anchor ±25–100 m</x:v>
      </x:c>
      <x:c r="AA120" s="52" t="str">
        <x:v>engineering_assumption</x:v>
      </x:c>
      <x:c r="AB120" s="52" t="str">
        <x:v>https://www.arrowheadstadiumkc.com/plan-your-visit/parking-tailgating/maps-directions</x:v>
      </x:c>
    </x:row>
    <x:row r="121">
      <x:c r="A121" s="52" t="str">
        <x:v>kansas-city-toc-TMP</x:v>
      </x:c>
      <x:c r="B121" s="52" t="n">
        <x:v>5</x:v>
      </x:c>
      <x:c r="C121" s="52" t="str">
        <x:v>kansas-city</x:v>
      </x:c>
      <x:c r="D121" s="52" t="str">
        <x:v>Kansas City</x:v>
      </x:c>
      <x:c r="E121" s="52" t="str">
        <x:v>toc</x:v>
      </x:c>
      <x:c r="F121" s="52" t="str">
        <x:v>Integrated traffic operations</x:v>
      </x:c>
      <x:c r="G121" s="52" t="str">
        <x:v>temporary</x:v>
      </x:c>
      <x:c r="H121" s="52" t="str">
        <x:v>kc-west-plaza</x:v>
      </x:c>
      <x:c r="I121" s="52" t="str">
        <x:v>KC-WPL</x:v>
      </x:c>
      <x:c r="J121" s="52" t="str">
        <x:v>Arrowhead west parking and plaza approach</x:v>
      </x:c>
      <x:c r="K121" s="53" t="n">
        <x:v>39.0491</x:v>
      </x:c>
      <x:c r="L121" s="53" t="n">
        <x:v>-94.4871</x:v>
      </x:c>
      <x:c r="M121" s="56" t="n">
        <x:v>400</x:v>
      </x:c>
      <x:c r="N121" s="56" t="str">
        <x:v>glb_model</x:v>
      </x:c>
      <x:c r="O121" s="56" t="n">
        <x:v>60</x:v>
      </x:c>
      <x:c r="P121" s="56" t="n">
        <x:v>40</x:v>
      </x:c>
      <x:c r="Q121" s="56" t="n">
        <x:v>4</x:v>
      </x:c>
      <x:c r="R121" s="56" t="n">
        <x:v>315</x:v>
      </x:c>
      <x:c r="S121" s="56" t="n">
        <x:v>0.05</x:v>
      </x:c>
      <x:c r="T121" s="52" t="str">
        <x:v>#F59E0B</x:v>
      </x:c>
      <x:c r="U121" s="55" t="n">
        <x:v>0.55</x:v>
      </x:c>
      <x:c r="V121" s="58" t="n">
        <x:f>'Funding Categories'!L67</x:f>
        <x:v>187500</x:v>
      </x:c>
      <x:c r="W121" s="52" t="str">
        <x:f>IF(V121&gt;0,"Yes","No")</x:f>
        <x:v>Yes</x:v>
      </x:c>
      <x:c r="X121" s="52" t="str">
        <x:v>unified incident command and temporary sensor feeds</x:v>
      </x:c>
      <x:c r="Y121" s="52" t="str">
        <x:v>concept_only</x:v>
      </x:c>
      <x:c r="Z121" s="52" t="str">
        <x:v>planning_anchor ±25–100 m</x:v>
      </x:c>
      <x:c r="AA121" s="52" t="str">
        <x:v>engineering_assumption</x:v>
      </x:c>
      <x:c r="AB121" s="52" t="str">
        <x:v>https://www.arrowheadstadiumkc.com/plan-your-visit/parking-tailgating/maps-directions</x:v>
      </x:c>
    </x:row>
    <x:row r="122">
      <x:c r="A122" s="52" t="str">
        <x:v>kansas-city-toc-PERM</x:v>
      </x:c>
      <x:c r="B122" s="52" t="n">
        <x:v>5</x:v>
      </x:c>
      <x:c r="C122" s="52" t="str">
        <x:v>kansas-city</x:v>
      </x:c>
      <x:c r="D122" s="52" t="str">
        <x:v>Kansas City</x:v>
      </x:c>
      <x:c r="E122" s="52" t="str">
        <x:v>toc</x:v>
      </x:c>
      <x:c r="F122" s="52" t="str">
        <x:v>Integrated traffic operations</x:v>
      </x:c>
      <x:c r="G122" s="52" t="str">
        <x:v>permanent</x:v>
      </x:c>
      <x:c r="H122" s="52" t="str">
        <x:v>kc-west-plaza</x:v>
      </x:c>
      <x:c r="I122" s="52" t="str">
        <x:v>KC-WPL</x:v>
      </x:c>
      <x:c r="J122" s="52" t="str">
        <x:v>Arrowhead west parking and plaza approach</x:v>
      </x:c>
      <x:c r="K122" s="53" t="n">
        <x:v>39.0491</x:v>
      </x:c>
      <x:c r="L122" s="53" t="n">
        <x:v>-94.4871</x:v>
      </x:c>
      <x:c r="M122" s="56" t="n">
        <x:v>400</x:v>
      </x:c>
      <x:c r="N122" s="56" t="str">
        <x:v>glb_model</x:v>
      </x:c>
      <x:c r="O122" s="56" t="n">
        <x:v>60</x:v>
      </x:c>
      <x:c r="P122" s="56" t="n">
        <x:v>40</x:v>
      </x:c>
      <x:c r="Q122" s="56" t="n">
        <x:v>12</x:v>
      </x:c>
      <x:c r="R122" s="56" t="n">
        <x:v>322</x:v>
      </x:c>
      <x:c r="S122" s="56" t="n">
        <x:v>0.1</x:v>
      </x:c>
      <x:c r="T122" s="52" t="str">
        <x:v>#2563EB</x:v>
      </x:c>
      <x:c r="U122" s="55" t="n">
        <x:v>0.85</x:v>
      </x:c>
      <x:c r="V122" s="58" t="n">
        <x:f>'Funding Categories'!M67</x:f>
        <x:v>562500</x:v>
      </x:c>
      <x:c r="W122" s="52" t="str">
        <x:f>IF(V122&gt;0,"Yes","No")</x:f>
        <x:v>Yes</x:v>
      </x:c>
      <x:c r="X122" s="52" t="str">
        <x:v>integrated operations center and adaptive dispatch</x:v>
      </x:c>
      <x:c r="Y122" s="52" t="str">
        <x:v>concept_only</x:v>
      </x:c>
      <x:c r="Z122" s="52" t="str">
        <x:v>planning_anchor ±25–100 m</x:v>
      </x:c>
      <x:c r="AA122" s="52" t="str">
        <x:v>engineering_assumption</x:v>
      </x:c>
      <x:c r="AB122" s="52" t="str">
        <x:v>https://www.arrowheadstadiumkc.com/plan-your-visit/parking-tailgating/maps-directions</x:v>
      </x:c>
    </x:row>
    <x:row r="123">
      <x:c r="A123" s="52" t="str">
        <x:v>kansas-city-access-TMP</x:v>
      </x:c>
      <x:c r="B123" s="52" t="n">
        <x:v>5</x:v>
      </x:c>
      <x:c r="C123" s="52" t="str">
        <x:v>kansas-city</x:v>
      </x:c>
      <x:c r="D123" s="52" t="str">
        <x:v>Kansas City</x:v>
      </x:c>
      <x:c r="E123" s="52" t="str">
        <x:v>access</x:v>
      </x:c>
      <x:c r="F123" s="52" t="str">
        <x:v>ADA/microtransit access</x:v>
      </x:c>
      <x:c r="G123" s="52" t="str">
        <x:v>temporary</x:v>
      </x:c>
      <x:c r="H123" s="52" t="str">
        <x:v>kc-blue-ridge-gate3</x:v>
      </x:c>
      <x:c r="I123" s="52" t="str">
        <x:v>KC-BRC</x:v>
      </x:c>
      <x:c r="J123" s="52" t="str">
        <x:v>Blue Ridge Cutoff Gate 3 and bus zone</x:v>
      </x:c>
      <x:c r="K123" s="53" t="n">
        <x:v>39.0471</x:v>
      </x:c>
      <x:c r="L123" s="53" t="n">
        <x:v>-94.4806</x:v>
      </x:c>
      <x:c r="M123" s="56" t="n">
        <x:v>350</x:v>
      </x:c>
      <x:c r="N123" s="56" t="str">
        <x:v>line_extrusion</x:v>
      </x:c>
      <x:c r="O123" s="56" t="n">
        <x:v>800</x:v>
      </x:c>
      <x:c r="P123" s="56" t="n">
        <x:v>3</x:v>
      </x:c>
      <x:c r="Q123" s="56" t="n">
        <x:v>0.1</x:v>
      </x:c>
      <x:c r="R123" s="56" t="n">
        <x:v>332</x:v>
      </x:c>
      <x:c r="S123" s="56" t="n">
        <x:v>0.05</x:v>
      </x:c>
      <x:c r="T123" s="52" t="str">
        <x:v>#F59E0B</x:v>
      </x:c>
      <x:c r="U123" s="55" t="n">
        <x:v>0.55</x:v>
      </x:c>
      <x:c r="V123" s="58" t="n">
        <x:f>'Funding Categories'!L68</x:f>
        <x:v>0</x:v>
      </x:c>
      <x:c r="W123" s="52" t="str">
        <x:f>IF(V123&gt;0,"Yes","No")</x:f>
        <x:v>No</x:v>
      </x:c>
      <x:c r="X123" s="52" t="str">
        <x:v>accessible shuttles; temporary ramps and staffed assistance</x:v>
      </x:c>
      <x:c r="Y123" s="52" t="str">
        <x:v>concept_only</x:v>
      </x:c>
      <x:c r="Z123" s="52" t="str">
        <x:v>planning_anchor ±25–100 m</x:v>
      </x:c>
      <x:c r="AA123" s="52" t="str">
        <x:v>engineering_assumption</x:v>
      </x:c>
      <x:c r="AB123" s="52" t="str">
        <x:v>https://www.arrowheadstadiumkc.com/plan-your-visit/parking-tailgating/maps-directions</x:v>
      </x:c>
    </x:row>
    <x:row r="124">
      <x:c r="A124" s="52" t="str">
        <x:v>kansas-city-access-PERM</x:v>
      </x:c>
      <x:c r="B124" s="52" t="n">
        <x:v>5</x:v>
      </x:c>
      <x:c r="C124" s="52" t="str">
        <x:v>kansas-city</x:v>
      </x:c>
      <x:c r="D124" s="52" t="str">
        <x:v>Kansas City</x:v>
      </x:c>
      <x:c r="E124" s="52" t="str">
        <x:v>access</x:v>
      </x:c>
      <x:c r="F124" s="52" t="str">
        <x:v>ADA/microtransit access</x:v>
      </x:c>
      <x:c r="G124" s="52" t="str">
        <x:v>permanent</x:v>
      </x:c>
      <x:c r="H124" s="52" t="str">
        <x:v>kc-blue-ridge-gate3</x:v>
      </x:c>
      <x:c r="I124" s="52" t="str">
        <x:v>KC-BRC</x:v>
      </x:c>
      <x:c r="J124" s="52" t="str">
        <x:v>Blue Ridge Cutoff Gate 3 and bus zone</x:v>
      </x:c>
      <x:c r="K124" s="53" t="n">
        <x:v>39.0471</x:v>
      </x:c>
      <x:c r="L124" s="53" t="n">
        <x:v>-94.4806</x:v>
      </x:c>
      <x:c r="M124" s="56" t="n">
        <x:v>350</x:v>
      </x:c>
      <x:c r="N124" s="56" t="str">
        <x:v>line_extrusion</x:v>
      </x:c>
      <x:c r="O124" s="56" t="n">
        <x:v>800</x:v>
      </x:c>
      <x:c r="P124" s="56" t="n">
        <x:v>3</x:v>
      </x:c>
      <x:c r="Q124" s="56" t="n">
        <x:v>0.1</x:v>
      </x:c>
      <x:c r="R124" s="56" t="n">
        <x:v>339</x:v>
      </x:c>
      <x:c r="S124" s="56" t="n">
        <x:v>0.1</x:v>
      </x:c>
      <x:c r="T124" s="52" t="str">
        <x:v>#2563EB</x:v>
      </x:c>
      <x:c r="U124" s="55" t="n">
        <x:v>0.85</x:v>
      </x:c>
      <x:c r="V124" s="58" t="n">
        <x:f>'Funding Categories'!M68</x:f>
        <x:v>0</x:v>
      </x:c>
      <x:c r="W124" s="52" t="str">
        <x:f>IF(V124&gt;0,"Yes","No")</x:f>
        <x:v>No</x:v>
      </x:c>
      <x:c r="X124" s="52" t="str">
        <x:v>ADA ramps; tactile guidance; accessible first/last-mile network</x:v>
      </x:c>
      <x:c r="Y124" s="52" t="str">
        <x:v>concept_only</x:v>
      </x:c>
      <x:c r="Z124" s="52" t="str">
        <x:v>planning_anchor ±25–100 m</x:v>
      </x:c>
      <x:c r="AA124" s="52" t="str">
        <x:v>engineering_assumption</x:v>
      </x:c>
      <x:c r="AB124" s="52" t="str">
        <x:v>https://www.arrowheadstadiumkc.com/plan-your-visit/parking-tailgating/maps-directions</x:v>
      </x:c>
    </x:row>
    <x:row r="125">
      <x:c r="A125" s="52" t="str">
        <x:v>los-angeles-service-TMP</x:v>
      </x:c>
      <x:c r="B125" s="52" t="n">
        <x:v>6</x:v>
      </x:c>
      <x:c r="C125" s="52" t="str">
        <x:v>los-angeles</x:v>
      </x:c>
      <x:c r="D125" s="52" t="str">
        <x:v>Los Angeles</x:v>
      </x:c>
      <x:c r="E125" s="52" t="str">
        <x:v>service</x:v>
      </x:c>
      <x:c r="F125" s="52" t="str">
        <x:v>Extra transit service</x:v>
      </x:c>
      <x:c r="G125" s="52" t="str">
        <x:v>temporary</x:v>
      </x:c>
      <x:c r="H125" s="52" t="str">
        <x:v>la-sofi-south-plaza</x:v>
      </x:c>
      <x:c r="I125" s="52" t="str">
        <x:v>LA-SPP</x:v>
      </x:c>
      <x:c r="J125" s="52" t="str">
        <x:v>SoFi south plaza at Pincay Drive and Prairie Avenue</x:v>
      </x:c>
      <x:c r="K125" s="53" t="n">
        <x:v>33.9509</x:v>
      </x:c>
      <x:c r="L125" s="53" t="n">
        <x:v>-118.3441</x:v>
      </x:c>
      <x:c r="M125" s="56" t="n">
        <x:v>350</x:v>
      </x:c>
      <x:c r="N125" s="56" t="str">
        <x:v>animated_route</x:v>
      </x:c>
      <x:c r="O125" s="56" t="n">
        <x:v>1500</x:v>
      </x:c>
      <x:c r="P125" s="56" t="n">
        <x:v>2</x:v>
      </x:c>
      <x:c r="Q125" s="56" t="n">
        <x:v>0.5</x:v>
      </x:c>
      <x:c r="R125" s="56" t="n">
        <x:v>174</x:v>
      </x:c>
      <x:c r="S125" s="56" t="n">
        <x:v>0.05</x:v>
      </x:c>
      <x:c r="T125" s="52" t="str">
        <x:v>#F59E0B</x:v>
      </x:c>
      <x:c r="U125" s="55" t="n">
        <x:v>0.55</x:v>
      </x:c>
      <x:c r="V125" s="58" t="n">
        <x:f>'Funding Categories'!L70</x:f>
        <x:v>1320000</x:v>
      </x:c>
      <x:c r="W125" s="52" t="str">
        <x:f>IF(V125&gt;0,"Yes","No")</x:f>
        <x:v>Yes</x:v>
      </x:c>
      <x:c r="X125" s="52" t="str">
        <x:v>extra rail/bus vehicle-hours; standby operators; event timetable</x:v>
      </x:c>
      <x:c r="Y125" s="52" t="str">
        <x:v>concept_only</x:v>
      </x:c>
      <x:c r="Z125" s="52" t="str">
        <x:v>planning_anchor ±25–100 m</x:v>
      </x:c>
      <x:c r="AA125" s="52" t="str">
        <x:v>engineering_assumption</x:v>
      </x:c>
      <x:c r="AB125" s="52" t="str">
        <x:v>https://www.sofistadium.com/plan-your-visit/maps</x:v>
      </x:c>
    </x:row>
    <x:row r="126">
      <x:c r="A126" s="52" t="str">
        <x:v>los-angeles-service-PERM</x:v>
      </x:c>
      <x:c r="B126" s="52" t="n">
        <x:v>6</x:v>
      </x:c>
      <x:c r="C126" s="52" t="str">
        <x:v>los-angeles</x:v>
      </x:c>
      <x:c r="D126" s="52" t="str">
        <x:v>Los Angeles</x:v>
      </x:c>
      <x:c r="E126" s="52" t="str">
        <x:v>service</x:v>
      </x:c>
      <x:c r="F126" s="52" t="str">
        <x:v>Extra transit service</x:v>
      </x:c>
      <x:c r="G126" s="52" t="str">
        <x:v>permanent</x:v>
      </x:c>
      <x:c r="H126" s="52" t="str">
        <x:v>la-sofi-south-plaza</x:v>
      </x:c>
      <x:c r="I126" s="52" t="str">
        <x:v>LA-SPP</x:v>
      </x:c>
      <x:c r="J126" s="52" t="str">
        <x:v>SoFi south plaza at Pincay Drive and Prairie Avenue</x:v>
      </x:c>
      <x:c r="K126" s="53" t="n">
        <x:v>33.9509</x:v>
      </x:c>
      <x:c r="L126" s="53" t="n">
        <x:v>-118.3441</x:v>
      </x:c>
      <x:c r="M126" s="56" t="n">
        <x:v>350</x:v>
      </x:c>
      <x:c r="N126" s="56" t="str">
        <x:v>animated_route</x:v>
      </x:c>
      <x:c r="O126" s="56" t="n">
        <x:v>1500</x:v>
      </x:c>
      <x:c r="P126" s="56" t="n">
        <x:v>2</x:v>
      </x:c>
      <x:c r="Q126" s="56" t="n">
        <x:v>1</x:v>
      </x:c>
      <x:c r="R126" s="56" t="n">
        <x:v>181</x:v>
      </x:c>
      <x:c r="S126" s="56" t="n">
        <x:v>0.1</x:v>
      </x:c>
      <x:c r="T126" s="52" t="str">
        <x:v>#2563EB</x:v>
      </x:c>
      <x:c r="U126" s="55" t="n">
        <x:v>0.85</x:v>
      </x:c>
      <x:c r="V126" s="58" t="n">
        <x:f>'Funding Categories'!M70</x:f>
        <x:v>330000</x:v>
      </x:c>
      <x:c r="W126" s="52" t="str">
        <x:f>IF(V126&gt;0,"Yes","No")</x:f>
        <x:v>Yes</x:v>
      </x:c>
      <x:c r="X126" s="52" t="str">
        <x:v>recurring major-event service plan; fleet and stabling readiness</x:v>
      </x:c>
      <x:c r="Y126" s="52" t="str">
        <x:v>concept_only</x:v>
      </x:c>
      <x:c r="Z126" s="52" t="str">
        <x:v>planning_anchor ±25–100 m</x:v>
      </x:c>
      <x:c r="AA126" s="52" t="str">
        <x:v>engineering_assumption</x:v>
      </x:c>
      <x:c r="AB126" s="52" t="str">
        <x:v>https://www.sofistadium.com/plan-your-visit/maps</x:v>
      </x:c>
    </x:row>
    <x:row r="127">
      <x:c r="A127" s="52" t="str">
        <x:v>los-angeles-buslane-TMP</x:v>
      </x:c>
      <x:c r="B127" s="52" t="n">
        <x:v>6</x:v>
      </x:c>
      <x:c r="C127" s="52" t="str">
        <x:v>los-angeles</x:v>
      </x:c>
      <x:c r="D127" s="52" t="str">
        <x:v>Los Angeles</x:v>
      </x:c>
      <x:c r="E127" s="52" t="str">
        <x:v>buslane</x:v>
      </x:c>
      <x:c r="F127" s="52" t="str">
        <x:v>Transit-priority lanes</x:v>
      </x:c>
      <x:c r="G127" s="52" t="str">
        <x:v>temporary</x:v>
      </x:c>
      <x:c r="H127" s="52" t="str">
        <x:v>la-downtown-inglewood</x:v>
      </x:c>
      <x:c r="I127" s="52" t="str">
        <x:v>LA-DTI</x:v>
      </x:c>
      <x:c r="J127" s="52" t="str">
        <x:v>Downtown Inglewood K Line shuttle interchange</x:v>
      </x:c>
      <x:c r="K127" s="53" t="n">
        <x:v>33.9552</x:v>
      </x:c>
      <x:c r="L127" s="53" t="n">
        <x:v>-118.3557</x:v>
      </x:c>
      <x:c r="M127" s="56" t="n">
        <x:v>400</x:v>
      </x:c>
      <x:c r="N127" s="56" t="str">
        <x:v>line_extrusion</x:v>
      </x:c>
      <x:c r="O127" s="56" t="n">
        <x:v>3200</x:v>
      </x:c>
      <x:c r="P127" s="56" t="n">
        <x:v>3.5</x:v>
      </x:c>
      <x:c r="Q127" s="56" t="n">
        <x:v>0.1</x:v>
      </x:c>
      <x:c r="R127" s="56" t="n">
        <x:v>191</x:v>
      </x:c>
      <x:c r="S127" s="56" t="n">
        <x:v>0.05</x:v>
      </x:c>
      <x:c r="T127" s="52" t="str">
        <x:v>#F59E0B</x:v>
      </x:c>
      <x:c r="U127" s="55" t="n">
        <x:v>0.55</x:v>
      </x:c>
      <x:c r="V127" s="58" t="n">
        <x:f>'Funding Categories'!L71</x:f>
        <x:v>648000</x:v>
      </x:c>
      <x:c r="W127" s="52" t="str">
        <x:f>IF(V127&gt;0,"Yes","No")</x:f>
        <x:v>Yes</x:v>
      </x:c>
      <x:c r="X127" s="52" t="str">
        <x:v>cone- and paint-defined bus lane with enforcement</x:v>
      </x:c>
      <x:c r="Y127" s="52" t="str">
        <x:v>concept_only</x:v>
      </x:c>
      <x:c r="Z127" s="52" t="str">
        <x:v>planning_anchor ±25–100 m</x:v>
      </x:c>
      <x:c r="AA127" s="52" t="str">
        <x:v>engineering_assumption</x:v>
      </x:c>
      <x:c r="AB127" s="52" t="str">
        <x:v>https://www.metro.net/riding/gameday/</x:v>
      </x:c>
    </x:row>
    <x:row r="128">
      <x:c r="A128" s="52" t="str">
        <x:v>los-angeles-buslane-PERM</x:v>
      </x:c>
      <x:c r="B128" s="52" t="n">
        <x:v>6</x:v>
      </x:c>
      <x:c r="C128" s="52" t="str">
        <x:v>los-angeles</x:v>
      </x:c>
      <x:c r="D128" s="52" t="str">
        <x:v>Los Angeles</x:v>
      </x:c>
      <x:c r="E128" s="52" t="str">
        <x:v>buslane</x:v>
      </x:c>
      <x:c r="F128" s="52" t="str">
        <x:v>Transit-priority lanes</x:v>
      </x:c>
      <x:c r="G128" s="52" t="str">
        <x:v>permanent</x:v>
      </x:c>
      <x:c r="H128" s="52" t="str">
        <x:v>la-downtown-inglewood</x:v>
      </x:c>
      <x:c r="I128" s="52" t="str">
        <x:v>LA-DTI</x:v>
      </x:c>
      <x:c r="J128" s="52" t="str">
        <x:v>Downtown Inglewood K Line shuttle interchange</x:v>
      </x:c>
      <x:c r="K128" s="53" t="n">
        <x:v>33.9552</x:v>
      </x:c>
      <x:c r="L128" s="53" t="n">
        <x:v>-118.3557</x:v>
      </x:c>
      <x:c r="M128" s="56" t="n">
        <x:v>400</x:v>
      </x:c>
      <x:c r="N128" s="56" t="str">
        <x:v>line_extrusion</x:v>
      </x:c>
      <x:c r="O128" s="56" t="n">
        <x:v>3200</x:v>
      </x:c>
      <x:c r="P128" s="56" t="n">
        <x:v>3.5</x:v>
      </x:c>
      <x:c r="Q128" s="56" t="n">
        <x:v>0.1</x:v>
      </x:c>
      <x:c r="R128" s="56" t="n">
        <x:v>198</x:v>
      </x:c>
      <x:c r="S128" s="56" t="n">
        <x:v>0.1</x:v>
      </x:c>
      <x:c r="T128" s="52" t="str">
        <x:v>#2563EB</x:v>
      </x:c>
      <x:c r="U128" s="55" t="n">
        <x:v>0.85</x:v>
      </x:c>
      <x:c r="V128" s="58" t="n">
        <x:f>'Funding Categories'!M71</x:f>
        <x:v>792000</x:v>
      </x:c>
      <x:c r="W128" s="52" t="str">
        <x:f>IF(V128&gt;0,"Yes","No")</x:f>
        <x:v>Yes</x:v>
      </x:c>
      <x:c r="X128" s="52" t="str">
        <x:v>dedicated or peak-period transit-priority lane</x:v>
      </x:c>
      <x:c r="Y128" s="52" t="str">
        <x:v>concept_only</x:v>
      </x:c>
      <x:c r="Z128" s="52" t="str">
        <x:v>planning_anchor ±25–100 m</x:v>
      </x:c>
      <x:c r="AA128" s="52" t="str">
        <x:v>engineering_assumption</x:v>
      </x:c>
      <x:c r="AB128" s="52" t="str">
        <x:v>https://www.metro.net/riding/gameday/</x:v>
      </x:c>
    </x:row>
    <x:row r="129">
      <x:c r="A129" s="52" t="str">
        <x:v>los-angeles-signals-TMP</x:v>
      </x:c>
      <x:c r="B129" s="52" t="n">
        <x:v>6</x:v>
      </x:c>
      <x:c r="C129" s="52" t="str">
        <x:v>los-angeles</x:v>
      </x:c>
      <x:c r="D129" s="52" t="str">
        <x:v>Los Angeles</x:v>
      </x:c>
      <x:c r="E129" s="52" t="str">
        <x:v>signals</x:v>
      </x:c>
      <x:c r="F129" s="52" t="str">
        <x:v>Signal timing plans</x:v>
      </x:c>
      <x:c r="G129" s="52" t="str">
        <x:v>temporary</x:v>
      </x:c>
      <x:c r="H129" s="52" t="str">
        <x:v>la-downtown-inglewood</x:v>
      </x:c>
      <x:c r="I129" s="52" t="str">
        <x:v>LA-DTI</x:v>
      </x:c>
      <x:c r="J129" s="52" t="str">
        <x:v>Downtown Inglewood K Line shuttle interchange</x:v>
      </x:c>
      <x:c r="K129" s="53" t="n">
        <x:v>33.9552</x:v>
      </x:c>
      <x:c r="L129" s="53" t="n">
        <x:v>-118.3557</x:v>
      </x:c>
      <x:c r="M129" s="56" t="n">
        <x:v>400</x:v>
      </x:c>
      <x:c r="N129" s="56" t="str">
        <x:v>point_model</x:v>
      </x:c>
      <x:c r="O129" s="56" t="n">
        <x:v>1</x:v>
      </x:c>
      <x:c r="P129" s="56" t="n">
        <x:v>1</x:v>
      </x:c>
      <x:c r="Q129" s="56" t="n">
        <x:v>3</x:v>
      </x:c>
      <x:c r="R129" s="56" t="n">
        <x:v>208</x:v>
      </x:c>
      <x:c r="S129" s="56" t="n">
        <x:v>0.05</x:v>
      </x:c>
      <x:c r="T129" s="52" t="str">
        <x:v>#F59E0B</x:v>
      </x:c>
      <x:c r="U129" s="55" t="n">
        <x:v>0.55</x:v>
      </x:c>
      <x:c r="V129" s="58" t="n">
        <x:f>'Funding Categories'!L72</x:f>
        <x:v>90000</x:v>
      </x:c>
      <x:c r="W129" s="52" t="str">
        <x:f>IF(V129&gt;0,"Yes","No")</x:f>
        <x:v>Yes</x:v>
      </x:c>
      <x:c r="X129" s="52" t="str">
        <x:v>police/manual traffic control and temporary timing plan</x:v>
      </x:c>
      <x:c r="Y129" s="52" t="str">
        <x:v>concept_only</x:v>
      </x:c>
      <x:c r="Z129" s="52" t="str">
        <x:v>planning_anchor ±25–100 m</x:v>
      </x:c>
      <x:c r="AA129" s="52" t="str">
        <x:v>engineering_assumption</x:v>
      </x:c>
      <x:c r="AB129" s="52" t="str">
        <x:v>https://www.metro.net/riding/gameday/</x:v>
      </x:c>
    </x:row>
    <x:row r="130">
      <x:c r="A130" s="52" t="str">
        <x:v>los-angeles-signals-PERM</x:v>
      </x:c>
      <x:c r="B130" s="52" t="n">
        <x:v>6</x:v>
      </x:c>
      <x:c r="C130" s="52" t="str">
        <x:v>los-angeles</x:v>
      </x:c>
      <x:c r="D130" s="52" t="str">
        <x:v>Los Angeles</x:v>
      </x:c>
      <x:c r="E130" s="52" t="str">
        <x:v>signals</x:v>
      </x:c>
      <x:c r="F130" s="52" t="str">
        <x:v>Signal timing plans</x:v>
      </x:c>
      <x:c r="G130" s="52" t="str">
        <x:v>permanent</x:v>
      </x:c>
      <x:c r="H130" s="52" t="str">
        <x:v>la-downtown-inglewood</x:v>
      </x:c>
      <x:c r="I130" s="52" t="str">
        <x:v>LA-DTI</x:v>
      </x:c>
      <x:c r="J130" s="52" t="str">
        <x:v>Downtown Inglewood K Line shuttle interchange</x:v>
      </x:c>
      <x:c r="K130" s="53" t="n">
        <x:v>33.9552</x:v>
      </x:c>
      <x:c r="L130" s="53" t="n">
        <x:v>-118.3557</x:v>
      </x:c>
      <x:c r="M130" s="56" t="n">
        <x:v>400</x:v>
      </x:c>
      <x:c r="N130" s="56" t="str">
        <x:v>point_model</x:v>
      </x:c>
      <x:c r="O130" s="56" t="n">
        <x:v>1</x:v>
      </x:c>
      <x:c r="P130" s="56" t="n">
        <x:v>1</x:v>
      </x:c>
      <x:c r="Q130" s="56" t="n">
        <x:v>6</x:v>
      </x:c>
      <x:c r="R130" s="56" t="n">
        <x:v>215</x:v>
      </x:c>
      <x:c r="S130" s="56" t="n">
        <x:v>0.1</x:v>
      </x:c>
      <x:c r="T130" s="52" t="str">
        <x:v>#2563EB</x:v>
      </x:c>
      <x:c r="U130" s="55" t="n">
        <x:v>0.85</x:v>
      </x:c>
      <x:c r="V130" s="58" t="n">
        <x:f>'Funding Categories'!M72</x:f>
        <x:v>270000</x:v>
      </x:c>
      <x:c r="W130" s="52" t="str">
        <x:f>IF(V130&gt;0,"Yes","No")</x:f>
        <x:v>Yes</x:v>
      </x:c>
      <x:c r="X130" s="52" t="str">
        <x:v>adaptive controllers and transit signal priority</x:v>
      </x:c>
      <x:c r="Y130" s="52" t="str">
        <x:v>concept_only</x:v>
      </x:c>
      <x:c r="Z130" s="52" t="str">
        <x:v>planning_anchor ±25–100 m</x:v>
      </x:c>
      <x:c r="AA130" s="52" t="str">
        <x:v>engineering_assumption</x:v>
      </x:c>
      <x:c r="AB130" s="52" t="str">
        <x:v>https://www.metro.net/riding/gameday/</x:v>
      </x:c>
    </x:row>
    <x:row r="131">
      <x:c r="A131" s="52" t="str">
        <x:v>los-angeles-hub-TMP</x:v>
      </x:c>
      <x:c r="B131" s="52" t="n">
        <x:v>6</x:v>
      </x:c>
      <x:c r="C131" s="52" t="str">
        <x:v>los-angeles</x:v>
      </x:c>
      <x:c r="D131" s="52" t="str">
        <x:v>Los Angeles</x:v>
      </x:c>
      <x:c r="E131" s="52" t="str">
        <x:v>hub</x:v>
      </x:c>
      <x:c r="F131" s="52" t="str">
        <x:v>Hub-to-stadium shuttle package</x:v>
      </x:c>
      <x:c r="G131" s="52" t="str">
        <x:v>temporary</x:v>
      </x:c>
      <x:c r="H131" s="52" t="str">
        <x:v>la-downtown-inglewood</x:v>
      </x:c>
      <x:c r="I131" s="52" t="str">
        <x:v>LA-DTI</x:v>
      </x:c>
      <x:c r="J131" s="52" t="str">
        <x:v>Downtown Inglewood K Line shuttle interchange</x:v>
      </x:c>
      <x:c r="K131" s="53" t="n">
        <x:v>33.9552</x:v>
      </x:c>
      <x:c r="L131" s="53" t="n">
        <x:v>-118.3557</x:v>
      </x:c>
      <x:c r="M131" s="56" t="n">
        <x:v>400</x:v>
      </x:c>
      <x:c r="N131" s="56" t="str">
        <x:v>polygon_extrusion</x:v>
      </x:c>
      <x:c r="O131" s="56" t="n">
        <x:v>90</x:v>
      </x:c>
      <x:c r="P131" s="56" t="n">
        <x:v>60</x:v>
      </x:c>
      <x:c r="Q131" s="56" t="n">
        <x:v>3</x:v>
      </x:c>
      <x:c r="R131" s="56" t="n">
        <x:v>225</x:v>
      </x:c>
      <x:c r="S131" s="56" t="n">
        <x:v>0.05</x:v>
      </x:c>
      <x:c r="T131" s="52" t="str">
        <x:v>#F59E0B</x:v>
      </x:c>
      <x:c r="U131" s="55" t="n">
        <x:v>0.55</x:v>
      </x:c>
      <x:c r="V131" s="58" t="n">
        <x:f>'Funding Categories'!L73</x:f>
        <x:v>900000</x:v>
      </x:c>
      <x:c r="W131" s="52" t="str">
        <x:f>IF(V131&gt;0,"Yes","No")</x:f>
        <x:v>Yes</x:v>
      </x:c>
      <x:c r="X131" s="52" t="str">
        <x:v>pop-up shuttle zone; temporary shelters and dispatch</x:v>
      </x:c>
      <x:c r="Y131" s="52" t="str">
        <x:v>concept_only</x:v>
      </x:c>
      <x:c r="Z131" s="52" t="str">
        <x:v>planning_anchor ±25–100 m</x:v>
      </x:c>
      <x:c r="AA131" s="52" t="str">
        <x:v>engineering_assumption</x:v>
      </x:c>
      <x:c r="AB131" s="52" t="str">
        <x:v>https://www.metro.net/riding/gameday/</x:v>
      </x:c>
    </x:row>
    <x:row r="132">
      <x:c r="A132" s="52" t="str">
        <x:v>los-angeles-hub-PERM</x:v>
      </x:c>
      <x:c r="B132" s="52" t="n">
        <x:v>6</x:v>
      </x:c>
      <x:c r="C132" s="52" t="str">
        <x:v>los-angeles</x:v>
      </x:c>
      <x:c r="D132" s="52" t="str">
        <x:v>Los Angeles</x:v>
      </x:c>
      <x:c r="E132" s="52" t="str">
        <x:v>hub</x:v>
      </x:c>
      <x:c r="F132" s="52" t="str">
        <x:v>Hub-to-stadium shuttle package</x:v>
      </x:c>
      <x:c r="G132" s="52" t="str">
        <x:v>permanent</x:v>
      </x:c>
      <x:c r="H132" s="52" t="str">
        <x:v>la-downtown-inglewood</x:v>
      </x:c>
      <x:c r="I132" s="52" t="str">
        <x:v>LA-DTI</x:v>
      </x:c>
      <x:c r="J132" s="52" t="str">
        <x:v>Downtown Inglewood K Line shuttle interchange</x:v>
      </x:c>
      <x:c r="K132" s="53" t="n">
        <x:v>33.9552</x:v>
      </x:c>
      <x:c r="L132" s="53" t="n">
        <x:v>-118.3557</x:v>
      </x:c>
      <x:c r="M132" s="56" t="n">
        <x:v>400</x:v>
      </x:c>
      <x:c r="N132" s="56" t="str">
        <x:v>polygon_extrusion</x:v>
      </x:c>
      <x:c r="O132" s="56" t="n">
        <x:v>90</x:v>
      </x:c>
      <x:c r="P132" s="56" t="n">
        <x:v>60</x:v>
      </x:c>
      <x:c r="Q132" s="56" t="n">
        <x:v>6</x:v>
      </x:c>
      <x:c r="R132" s="56" t="n">
        <x:v>232</x:v>
      </x:c>
      <x:c r="S132" s="56" t="n">
        <x:v>0.1</x:v>
      </x:c>
      <x:c r="T132" s="52" t="str">
        <x:v>#2563EB</x:v>
      </x:c>
      <x:c r="U132" s="55" t="n">
        <x:v>0.85</x:v>
      </x:c>
      <x:c r="V132" s="58" t="n">
        <x:f>'Funding Categories'!M73</x:f>
        <x:v>1350000</x:v>
      </x:c>
      <x:c r="W132" s="52" t="str">
        <x:f>IF(V132&gt;0,"Yes","No")</x:f>
        <x:v>Yes</x:v>
      </x:c>
      <x:c r="X132" s="52" t="str">
        <x:v>permanent multimodal mobility hub</x:v>
      </x:c>
      <x:c r="Y132" s="52" t="str">
        <x:v>concept_only</x:v>
      </x:c>
      <x:c r="Z132" s="52" t="str">
        <x:v>planning_anchor ±25–100 m</x:v>
      </x:c>
      <x:c r="AA132" s="52" t="str">
        <x:v>engineering_assumption</x:v>
      </x:c>
      <x:c r="AB132" s="52" t="str">
        <x:v>https://www.metro.net/riding/gameday/</x:v>
      </x:c>
    </x:row>
    <x:row r="133">
      <x:c r="A133" s="52" t="str">
        <x:v>los-angeles-parkride-TMP</x:v>
      </x:c>
      <x:c r="B133" s="52" t="n">
        <x:v>6</x:v>
      </x:c>
      <x:c r="C133" s="52" t="str">
        <x:v>los-angeles</x:v>
      </x:c>
      <x:c r="D133" s="52" t="str">
        <x:v>Los Angeles</x:v>
      </x:c>
      <x:c r="E133" s="52" t="str">
        <x:v>parkride</x:v>
      </x:c>
      <x:c r="F133" s="52" t="str">
        <x:v>Park-and-ride package</x:v>
      </x:c>
      <x:c r="G133" s="52" t="str">
        <x:v>temporary</x:v>
      </x:c>
      <x:c r="H133" s="52" t="str">
        <x:v>la-downtown-inglewood</x:v>
      </x:c>
      <x:c r="I133" s="52" t="str">
        <x:v>LA-DTI</x:v>
      </x:c>
      <x:c r="J133" s="52" t="str">
        <x:v>Downtown Inglewood K Line shuttle interchange</x:v>
      </x:c>
      <x:c r="K133" s="53" t="n">
        <x:v>33.9552</x:v>
      </x:c>
      <x:c r="L133" s="53" t="n">
        <x:v>-118.3557</x:v>
      </x:c>
      <x:c r="M133" s="56" t="n">
        <x:v>400</x:v>
      </x:c>
      <x:c r="N133" s="56" t="str">
        <x:v>polygon_extrusion</x:v>
      </x:c>
      <x:c r="O133" s="56" t="n">
        <x:v>220</x:v>
      </x:c>
      <x:c r="P133" s="56" t="n">
        <x:v>150</x:v>
      </x:c>
      <x:c r="Q133" s="56" t="n">
        <x:v>0.2</x:v>
      </x:c>
      <x:c r="R133" s="56" t="n">
        <x:v>242</x:v>
      </x:c>
      <x:c r="S133" s="56" t="n">
        <x:v>0.05</x:v>
      </x:c>
      <x:c r="T133" s="52" t="str">
        <x:v>#F59E0B</x:v>
      </x:c>
      <x:c r="U133" s="55" t="n">
        <x:v>0.55</x:v>
      </x:c>
      <x:c r="V133" s="58" t="n">
        <x:f>'Funding Categories'!L74</x:f>
        <x:v>450000</x:v>
      </x:c>
      <x:c r="W133" s="52" t="str">
        <x:f>IF(V133&gt;0,"Yes","No")</x:f>
        <x:v>Yes</x:v>
      </x:c>
      <x:c r="X133" s="52" t="str">
        <x:v>leased intercept lots and temporary signing</x:v>
      </x:c>
      <x:c r="Y133" s="52" t="str">
        <x:v>concept_only</x:v>
      </x:c>
      <x:c r="Z133" s="52" t="str">
        <x:v>planning_anchor ±25–100 m</x:v>
      </x:c>
      <x:c r="AA133" s="52" t="str">
        <x:v>engineering_assumption</x:v>
      </x:c>
      <x:c r="AB133" s="52" t="str">
        <x:v>https://www.metro.net/riding/gameday/</x:v>
      </x:c>
    </x:row>
    <x:row r="134">
      <x:c r="A134" s="52" t="str">
        <x:v>los-angeles-parkride-PERM</x:v>
      </x:c>
      <x:c r="B134" s="52" t="n">
        <x:v>6</x:v>
      </x:c>
      <x:c r="C134" s="52" t="str">
        <x:v>los-angeles</x:v>
      </x:c>
      <x:c r="D134" s="52" t="str">
        <x:v>Los Angeles</x:v>
      </x:c>
      <x:c r="E134" s="52" t="str">
        <x:v>parkride</x:v>
      </x:c>
      <x:c r="F134" s="52" t="str">
        <x:v>Park-and-ride package</x:v>
      </x:c>
      <x:c r="G134" s="52" t="str">
        <x:v>permanent</x:v>
      </x:c>
      <x:c r="H134" s="52" t="str">
        <x:v>la-downtown-inglewood</x:v>
      </x:c>
      <x:c r="I134" s="52" t="str">
        <x:v>LA-DTI</x:v>
      </x:c>
      <x:c r="J134" s="52" t="str">
        <x:v>Downtown Inglewood K Line shuttle interchange</x:v>
      </x:c>
      <x:c r="K134" s="53" t="n">
        <x:v>33.9552</x:v>
      </x:c>
      <x:c r="L134" s="53" t="n">
        <x:v>-118.3557</x:v>
      </x:c>
      <x:c r="M134" s="56" t="n">
        <x:v>400</x:v>
      </x:c>
      <x:c r="N134" s="56" t="str">
        <x:v>polygon_extrusion</x:v>
      </x:c>
      <x:c r="O134" s="56" t="n">
        <x:v>220</x:v>
      </x:c>
      <x:c r="P134" s="56" t="n">
        <x:v>150</x:v>
      </x:c>
      <x:c r="Q134" s="56" t="n">
        <x:v>0.2</x:v>
      </x:c>
      <x:c r="R134" s="56" t="n">
        <x:v>249</x:v>
      </x:c>
      <x:c r="S134" s="56" t="n">
        <x:v>0.1</x:v>
      </x:c>
      <x:c r="T134" s="52" t="str">
        <x:v>#2563EB</x:v>
      </x:c>
      <x:c r="U134" s="55" t="n">
        <x:v>0.85</x:v>
      </x:c>
      <x:c r="V134" s="58" t="n">
        <x:f>'Funding Categories'!M74</x:f>
        <x:v>450000</x:v>
      </x:c>
      <x:c r="W134" s="52" t="str">
        <x:f>IF(V134&gt;0,"Yes","No")</x:f>
        <x:v>Yes</x:v>
      </x:c>
      <x:c r="X134" s="52" t="str">
        <x:v>permanent park-and-ride with charging and transit access</x:v>
      </x:c>
      <x:c r="Y134" s="52" t="str">
        <x:v>concept_only</x:v>
      </x:c>
      <x:c r="Z134" s="52" t="str">
        <x:v>planning_anchor ±25–100 m</x:v>
      </x:c>
      <x:c r="AA134" s="52" t="str">
        <x:v>engineering_assumption</x:v>
      </x:c>
      <x:c r="AB134" s="52" t="str">
        <x:v>https://www.metro.net/riding/gameday/</x:v>
      </x:c>
    </x:row>
    <x:row r="135">
      <x:c r="A135" s="52" t="str">
        <x:v>los-angeles-ped-TMP</x:v>
      </x:c>
      <x:c r="B135" s="52" t="n">
        <x:v>6</x:v>
      </x:c>
      <x:c r="C135" s="52" t="str">
        <x:v>los-angeles</x:v>
      </x:c>
      <x:c r="D135" s="52" t="str">
        <x:v>Los Angeles</x:v>
      </x:c>
      <x:c r="E135" s="52" t="str">
        <x:v>ped</x:v>
      </x:c>
      <x:c r="F135" s="52" t="str">
        <x:v>Protected pedestrian corridor</x:v>
      </x:c>
      <x:c r="G135" s="52" t="str">
        <x:v>temporary</x:v>
      </x:c>
      <x:c r="H135" s="52" t="str">
        <x:v>la-sofi-south-plaza</x:v>
      </x:c>
      <x:c r="I135" s="52" t="str">
        <x:v>LA-SPP</x:v>
      </x:c>
      <x:c r="J135" s="52" t="str">
        <x:v>SoFi south plaza at Pincay Drive and Prairie Avenue</x:v>
      </x:c>
      <x:c r="K135" s="53" t="n">
        <x:v>33.9509</x:v>
      </x:c>
      <x:c r="L135" s="53" t="n">
        <x:v>-118.3441</x:v>
      </x:c>
      <x:c r="M135" s="56" t="n">
        <x:v>350</x:v>
      </x:c>
      <x:c r="N135" s="56" t="str">
        <x:v>line_extrusion</x:v>
      </x:c>
      <x:c r="O135" s="56" t="n">
        <x:v>1600</x:v>
      </x:c>
      <x:c r="P135" s="56" t="n">
        <x:v>6</x:v>
      </x:c>
      <x:c r="Q135" s="56" t="n">
        <x:v>0.15</x:v>
      </x:c>
      <x:c r="R135" s="56" t="n">
        <x:v>259</x:v>
      </x:c>
      <x:c r="S135" s="56" t="n">
        <x:v>0.05</x:v>
      </x:c>
      <x:c r="T135" s="52" t="str">
        <x:v>#F59E0B</x:v>
      </x:c>
      <x:c r="U135" s="55" t="n">
        <x:v>0.55</x:v>
      </x:c>
      <x:c r="V135" s="58" t="n">
        <x:f>'Funding Categories'!L75</x:f>
        <x:v>0</x:v>
      </x:c>
      <x:c r="W135" s="52" t="str">
        <x:f>IF(V135&gt;0,"Yes","No")</x:f>
        <x:v>No</x:v>
      </x:c>
      <x:c r="X135" s="52" t="str">
        <x:v>barricaded protected corridor; marshals and lighting</x:v>
      </x:c>
      <x:c r="Y135" s="52" t="str">
        <x:v>concept_only</x:v>
      </x:c>
      <x:c r="Z135" s="52" t="str">
        <x:v>planning_anchor ±25–100 m</x:v>
      </x:c>
      <x:c r="AA135" s="52" t="str">
        <x:v>engineering_assumption</x:v>
      </x:c>
      <x:c r="AB135" s="52" t="str">
        <x:v>https://www.sofistadium.com/plan-your-visit/maps</x:v>
      </x:c>
    </x:row>
    <x:row r="136">
      <x:c r="A136" s="52" t="str">
        <x:v>los-angeles-ped-PERM</x:v>
      </x:c>
      <x:c r="B136" s="52" t="n">
        <x:v>6</x:v>
      </x:c>
      <x:c r="C136" s="52" t="str">
        <x:v>los-angeles</x:v>
      </x:c>
      <x:c r="D136" s="52" t="str">
        <x:v>Los Angeles</x:v>
      </x:c>
      <x:c r="E136" s="52" t="str">
        <x:v>ped</x:v>
      </x:c>
      <x:c r="F136" s="52" t="str">
        <x:v>Protected pedestrian corridor</x:v>
      </x:c>
      <x:c r="G136" s="52" t="str">
        <x:v>permanent</x:v>
      </x:c>
      <x:c r="H136" s="52" t="str">
        <x:v>la-sofi-south-plaza</x:v>
      </x:c>
      <x:c r="I136" s="52" t="str">
        <x:v>LA-SPP</x:v>
      </x:c>
      <x:c r="J136" s="52" t="str">
        <x:v>SoFi south plaza at Pincay Drive and Prairie Avenue</x:v>
      </x:c>
      <x:c r="K136" s="53" t="n">
        <x:v>33.9509</x:v>
      </x:c>
      <x:c r="L136" s="53" t="n">
        <x:v>-118.3441</x:v>
      </x:c>
      <x:c r="M136" s="56" t="n">
        <x:v>350</x:v>
      </x:c>
      <x:c r="N136" s="56" t="str">
        <x:v>line_extrusion</x:v>
      </x:c>
      <x:c r="O136" s="56" t="n">
        <x:v>1600</x:v>
      </x:c>
      <x:c r="P136" s="56" t="n">
        <x:v>6</x:v>
      </x:c>
      <x:c r="Q136" s="56" t="n">
        <x:v>0.15</x:v>
      </x:c>
      <x:c r="R136" s="56" t="n">
        <x:v>266</x:v>
      </x:c>
      <x:c r="S136" s="56" t="n">
        <x:v>0.1</x:v>
      </x:c>
      <x:c r="T136" s="52" t="str">
        <x:v>#0F766E</x:v>
      </x:c>
      <x:c r="U136" s="55" t="n">
        <x:v>0.85</x:v>
      </x:c>
      <x:c r="V136" s="58" t="n">
        <x:f>'Funding Categories'!M75</x:f>
        <x:v>0</x:v>
      </x:c>
      <x:c r="W136" s="52" t="str">
        <x:f>IF(V136&gt;0,"Yes","No")</x:f>
        <x:v>No</x:v>
      </x:c>
      <x:c r="X136" s="52" t="str">
        <x:v>widened sidewalk; lighting; drainage and separation</x:v>
      </x:c>
      <x:c r="Y136" s="52" t="str">
        <x:v>concept_only</x:v>
      </x:c>
      <x:c r="Z136" s="52" t="str">
        <x:v>planning_anchor ±25–100 m</x:v>
      </x:c>
      <x:c r="AA136" s="52" t="str">
        <x:v>engineering_assumption</x:v>
      </x:c>
      <x:c r="AB136" s="52" t="str">
        <x:v>https://www.sofistadium.com/plan-your-visit/maps</x:v>
      </x:c>
    </x:row>
    <x:row r="137">
      <x:c r="A137" s="52" t="str">
        <x:v>los-angeles-bike-TMP</x:v>
      </x:c>
      <x:c r="B137" s="52" t="n">
        <x:v>6</x:v>
      </x:c>
      <x:c r="C137" s="52" t="str">
        <x:v>los-angeles</x:v>
      </x:c>
      <x:c r="D137" s="52" t="str">
        <x:v>Los Angeles</x:v>
      </x:c>
      <x:c r="E137" s="52" t="str">
        <x:v>bike</x:v>
      </x:c>
      <x:c r="F137" s="52" t="str">
        <x:v>Protected bicycle access</x:v>
      </x:c>
      <x:c r="G137" s="52" t="str">
        <x:v>temporary</x:v>
      </x:c>
      <x:c r="H137" s="52" t="str">
        <x:v>la-sofi-south-plaza</x:v>
      </x:c>
      <x:c r="I137" s="52" t="str">
        <x:v>LA-SPP</x:v>
      </x:c>
      <x:c r="J137" s="52" t="str">
        <x:v>SoFi south plaza at Pincay Drive and Prairie Avenue</x:v>
      </x:c>
      <x:c r="K137" s="53" t="n">
        <x:v>33.9509</x:v>
      </x:c>
      <x:c r="L137" s="53" t="n">
        <x:v>-118.3441</x:v>
      </x:c>
      <x:c r="M137" s="56" t="n">
        <x:v>350</x:v>
      </x:c>
      <x:c r="N137" s="56" t="str">
        <x:v>line_extrusion</x:v>
      </x:c>
      <x:c r="O137" s="56" t="n">
        <x:v>3200</x:v>
      </x:c>
      <x:c r="P137" s="56" t="n">
        <x:v>3</x:v>
      </x:c>
      <x:c r="Q137" s="56" t="n">
        <x:v>0.1</x:v>
      </x:c>
      <x:c r="R137" s="56" t="n">
        <x:v>276</x:v>
      </x:c>
      <x:c r="S137" s="56" t="n">
        <x:v>0.05</x:v>
      </x:c>
      <x:c r="T137" s="52" t="str">
        <x:v>#F59E0B</x:v>
      </x:c>
      <x:c r="U137" s="55" t="n">
        <x:v>0.55</x:v>
      </x:c>
      <x:c r="V137" s="58" t="n">
        <x:f>'Funding Categories'!L76</x:f>
        <x:v>0</x:v>
      </x:c>
      <x:c r="W137" s="52" t="str">
        <x:f>IF(V137&gt;0,"Yes","No")</x:f>
        <x:v>No</x:v>
      </x:c>
      <x:c r="X137" s="52" t="str">
        <x:v>pop-up protected lane and attended bike valet</x:v>
      </x:c>
      <x:c r="Y137" s="52" t="str">
        <x:v>concept_only</x:v>
      </x:c>
      <x:c r="Z137" s="52" t="str">
        <x:v>planning_anchor ±25–100 m</x:v>
      </x:c>
      <x:c r="AA137" s="52" t="str">
        <x:v>engineering_assumption</x:v>
      </x:c>
      <x:c r="AB137" s="52" t="str">
        <x:v>https://www.sofistadium.com/plan-your-visit/maps</x:v>
      </x:c>
    </x:row>
    <x:row r="138">
      <x:c r="A138" s="52" t="str">
        <x:v>los-angeles-bike-PERM</x:v>
      </x:c>
      <x:c r="B138" s="52" t="n">
        <x:v>6</x:v>
      </x:c>
      <x:c r="C138" s="52" t="str">
        <x:v>los-angeles</x:v>
      </x:c>
      <x:c r="D138" s="52" t="str">
        <x:v>Los Angeles</x:v>
      </x:c>
      <x:c r="E138" s="52" t="str">
        <x:v>bike</x:v>
      </x:c>
      <x:c r="F138" s="52" t="str">
        <x:v>Protected bicycle access</x:v>
      </x:c>
      <x:c r="G138" s="52" t="str">
        <x:v>permanent</x:v>
      </x:c>
      <x:c r="H138" s="52" t="str">
        <x:v>la-sofi-south-plaza</x:v>
      </x:c>
      <x:c r="I138" s="52" t="str">
        <x:v>LA-SPP</x:v>
      </x:c>
      <x:c r="J138" s="52" t="str">
        <x:v>SoFi south plaza at Pincay Drive and Prairie Avenue</x:v>
      </x:c>
      <x:c r="K138" s="53" t="n">
        <x:v>33.9509</x:v>
      </x:c>
      <x:c r="L138" s="53" t="n">
        <x:v>-118.3441</x:v>
      </x:c>
      <x:c r="M138" s="56" t="n">
        <x:v>350</x:v>
      </x:c>
      <x:c r="N138" s="56" t="str">
        <x:v>line_extrusion</x:v>
      </x:c>
      <x:c r="O138" s="56" t="n">
        <x:v>3200</x:v>
      </x:c>
      <x:c r="P138" s="56" t="n">
        <x:v>3</x:v>
      </x:c>
      <x:c r="Q138" s="56" t="n">
        <x:v>0.1</x:v>
      </x:c>
      <x:c r="R138" s="56" t="n">
        <x:v>283</x:v>
      </x:c>
      <x:c r="S138" s="56" t="n">
        <x:v>0.1</x:v>
      </x:c>
      <x:c r="T138" s="52" t="str">
        <x:v>#0F766E</x:v>
      </x:c>
      <x:c r="U138" s="55" t="n">
        <x:v>0.85</x:v>
      </x:c>
      <x:c r="V138" s="58" t="n">
        <x:f>'Funding Categories'!M76</x:f>
        <x:v>0</x:v>
      </x:c>
      <x:c r="W138" s="52" t="str">
        <x:f>IF(V138&gt;0,"Yes","No")</x:f>
        <x:v>No</x:v>
      </x:c>
      <x:c r="X138" s="52" t="str">
        <x:v>protected bikeway and secure long-term parking</x:v>
      </x:c>
      <x:c r="Y138" s="52" t="str">
        <x:v>concept_only</x:v>
      </x:c>
      <x:c r="Z138" s="52" t="str">
        <x:v>planning_anchor ±25–100 m</x:v>
      </x:c>
      <x:c r="AA138" s="52" t="str">
        <x:v>engineering_assumption</x:v>
      </x:c>
      <x:c r="AB138" s="52" t="str">
        <x:v>https://www.sofistadium.com/plan-your-visit/maps</x:v>
      </x:c>
    </x:row>
    <x:row r="139">
      <x:c r="A139" s="52" t="str">
        <x:v>los-angeles-tnc-TMP</x:v>
      </x:c>
      <x:c r="B139" s="52" t="n">
        <x:v>6</x:v>
      </x:c>
      <x:c r="C139" s="52" t="str">
        <x:v>los-angeles</x:v>
      </x:c>
      <x:c r="D139" s="52" t="str">
        <x:v>Los Angeles</x:v>
      </x:c>
      <x:c r="E139" s="52" t="str">
        <x:v>tnc</x:v>
      </x:c>
      <x:c r="F139" s="52" t="str">
        <x:v>Managed rideshare hub</x:v>
      </x:c>
      <x:c r="G139" s="52" t="str">
        <x:v>temporary</x:v>
      </x:c>
      <x:c r="H139" s="52" t="str">
        <x:v>la-downtown-inglewood</x:v>
      </x:c>
      <x:c r="I139" s="52" t="str">
        <x:v>LA-DTI</x:v>
      </x:c>
      <x:c r="J139" s="52" t="str">
        <x:v>Downtown Inglewood K Line shuttle interchange</x:v>
      </x:c>
      <x:c r="K139" s="53" t="n">
        <x:v>33.9552</x:v>
      </x:c>
      <x:c r="L139" s="53" t="n">
        <x:v>-118.3557</x:v>
      </x:c>
      <x:c r="M139" s="56" t="n">
        <x:v>400</x:v>
      </x:c>
      <x:c r="N139" s="56" t="str">
        <x:v>polygon_extrusion</x:v>
      </x:c>
      <x:c r="O139" s="56" t="n">
        <x:v>70</x:v>
      </x:c>
      <x:c r="P139" s="56" t="n">
        <x:v>45</x:v>
      </x:c>
      <x:c r="Q139" s="56" t="n">
        <x:v>0.2</x:v>
      </x:c>
      <x:c r="R139" s="56" t="n">
        <x:v>293</x:v>
      </x:c>
      <x:c r="S139" s="56" t="n">
        <x:v>0.05</x:v>
      </x:c>
      <x:c r="T139" s="52" t="str">
        <x:v>#F59E0B</x:v>
      </x:c>
      <x:c r="U139" s="55" t="n">
        <x:v>0.55</x:v>
      </x:c>
      <x:c r="V139" s="58" t="n">
        <x:f>'Funding Categories'!L77</x:f>
        <x:v>600000</x:v>
      </x:c>
      <x:c r="W139" s="52" t="str">
        <x:f>IF(V139&gt;0,"Yes","No")</x:f>
        <x:v>Yes</x:v>
      </x:c>
      <x:c r="X139" s="52" t="str">
        <x:v>staffed geofenced pickup with temporary lane control</x:v>
      </x:c>
      <x:c r="Y139" s="52" t="str">
        <x:v>concept_only</x:v>
      </x:c>
      <x:c r="Z139" s="52" t="str">
        <x:v>planning_anchor ±25–100 m</x:v>
      </x:c>
      <x:c r="AA139" s="52" t="str">
        <x:v>engineering_assumption</x:v>
      </x:c>
      <x:c r="AB139" s="52" t="str">
        <x:v>https://www.metro.net/riding/gameday/</x:v>
      </x:c>
    </x:row>
    <x:row r="140">
      <x:c r="A140" s="52" t="str">
        <x:v>los-angeles-tnc-PERM</x:v>
      </x:c>
      <x:c r="B140" s="52" t="n">
        <x:v>6</x:v>
      </x:c>
      <x:c r="C140" s="52" t="str">
        <x:v>los-angeles</x:v>
      </x:c>
      <x:c r="D140" s="52" t="str">
        <x:v>Los Angeles</x:v>
      </x:c>
      <x:c r="E140" s="52" t="str">
        <x:v>tnc</x:v>
      </x:c>
      <x:c r="F140" s="52" t="str">
        <x:v>Managed rideshare hub</x:v>
      </x:c>
      <x:c r="G140" s="52" t="str">
        <x:v>permanent</x:v>
      </x:c>
      <x:c r="H140" s="52" t="str">
        <x:v>la-downtown-inglewood</x:v>
      </x:c>
      <x:c r="I140" s="52" t="str">
        <x:v>LA-DTI</x:v>
      </x:c>
      <x:c r="J140" s="52" t="str">
        <x:v>Downtown Inglewood K Line shuttle interchange</x:v>
      </x:c>
      <x:c r="K140" s="53" t="n">
        <x:v>33.9552</x:v>
      </x:c>
      <x:c r="L140" s="53" t="n">
        <x:v>-118.3557</x:v>
      </x:c>
      <x:c r="M140" s="56" t="n">
        <x:v>400</x:v>
      </x:c>
      <x:c r="N140" s="56" t="str">
        <x:v>polygon_extrusion</x:v>
      </x:c>
      <x:c r="O140" s="56" t="n">
        <x:v>70</x:v>
      </x:c>
      <x:c r="P140" s="56" t="n">
        <x:v>45</x:v>
      </x:c>
      <x:c r="Q140" s="56" t="n">
        <x:v>0.2</x:v>
      </x:c>
      <x:c r="R140" s="56" t="n">
        <x:v>300</x:v>
      </x:c>
      <x:c r="S140" s="56" t="n">
        <x:v>0.1</x:v>
      </x:c>
      <x:c r="T140" s="52" t="str">
        <x:v>#2563EB</x:v>
      </x:c>
      <x:c r="U140" s="55" t="n">
        <x:v>0.85</x:v>
      </x:c>
      <x:c r="V140" s="58" t="n">
        <x:f>'Funding Categories'!M77</x:f>
        <x:v>600000</x:v>
      </x:c>
      <x:c r="W140" s="52" t="str">
        <x:f>IF(V140&gt;0,"Yes","No")</x:f>
        <x:v>Yes</x:v>
      </x:c>
      <x:c r="X140" s="52" t="str">
        <x:v>off-street rideshare hub with accessible bays</x:v>
      </x:c>
      <x:c r="Y140" s="52" t="str">
        <x:v>concept_only</x:v>
      </x:c>
      <x:c r="Z140" s="52" t="str">
        <x:v>planning_anchor ±25–100 m</x:v>
      </x:c>
      <x:c r="AA140" s="52" t="str">
        <x:v>engineering_assumption</x:v>
      </x:c>
      <x:c r="AB140" s="52" t="str">
        <x:v>https://www.metro.net/riding/gameday/</x:v>
      </x:c>
    </x:row>
    <x:row r="141">
      <x:c r="A141" s="52" t="str">
        <x:v>los-angeles-wayfinding-TMP</x:v>
      </x:c>
      <x:c r="B141" s="52" t="n">
        <x:v>6</x:v>
      </x:c>
      <x:c r="C141" s="52" t="str">
        <x:v>los-angeles</x:v>
      </x:c>
      <x:c r="D141" s="52" t="str">
        <x:v>Los Angeles</x:v>
      </x:c>
      <x:c r="E141" s="52" t="str">
        <x:v>wayfinding</x:v>
      </x:c>
      <x:c r="F141" s="52" t="str">
        <x:v>Multilingual wayfinding</x:v>
      </x:c>
      <x:c r="G141" s="52" t="str">
        <x:v>temporary</x:v>
      </x:c>
      <x:c r="H141" s="52" t="str">
        <x:v>la-sofi-south-plaza</x:v>
      </x:c>
      <x:c r="I141" s="52" t="str">
        <x:v>LA-SPP</x:v>
      </x:c>
      <x:c r="J141" s="52" t="str">
        <x:v>SoFi south plaza at Pincay Drive and Prairie Avenue</x:v>
      </x:c>
      <x:c r="K141" s="53" t="n">
        <x:v>33.9509</x:v>
      </x:c>
      <x:c r="L141" s="53" t="n">
        <x:v>-118.3441</x:v>
      </x:c>
      <x:c r="M141" s="56" t="n">
        <x:v>350</x:v>
      </x:c>
      <x:c r="N141" s="56" t="str">
        <x:v>point_model</x:v>
      </x:c>
      <x:c r="O141" s="56" t="n">
        <x:v>1</x:v>
      </x:c>
      <x:c r="P141" s="56" t="n">
        <x:v>1</x:v>
      </x:c>
      <x:c r="Q141" s="56" t="n">
        <x:v>2.5</x:v>
      </x:c>
      <x:c r="R141" s="56" t="n">
        <x:v>310</x:v>
      </x:c>
      <x:c r="S141" s="56" t="n">
        <x:v>0.05</x:v>
      </x:c>
      <x:c r="T141" s="52" t="str">
        <x:v>#F59E0B</x:v>
      </x:c>
      <x:c r="U141" s="55" t="n">
        <x:v>0.55</x:v>
      </x:c>
      <x:c r="V141" s="58" t="n">
        <x:f>'Funding Categories'!L78</x:f>
        <x:v>135000</x:v>
      </x:c>
      <x:c r="W141" s="52" t="str">
        <x:f>IF(V141&gt;0,"Yes","No")</x:f>
        <x:v>Yes</x:v>
      </x:c>
      <x:c r="X141" s="52" t="str">
        <x:v>portable signs; digital messages; multilingual ambassadors</x:v>
      </x:c>
      <x:c r="Y141" s="52" t="str">
        <x:v>concept_only</x:v>
      </x:c>
      <x:c r="Z141" s="52" t="str">
        <x:v>planning_anchor ±25–100 m</x:v>
      </x:c>
      <x:c r="AA141" s="52" t="str">
        <x:v>engineering_assumption</x:v>
      </x:c>
      <x:c r="AB141" s="52" t="str">
        <x:v>https://www.sofistadium.com/plan-your-visit/maps</x:v>
      </x:c>
    </x:row>
    <x:row r="142">
      <x:c r="A142" s="52" t="str">
        <x:v>los-angeles-wayfinding-PERM</x:v>
      </x:c>
      <x:c r="B142" s="52" t="n">
        <x:v>6</x:v>
      </x:c>
      <x:c r="C142" s="52" t="str">
        <x:v>los-angeles</x:v>
      </x:c>
      <x:c r="D142" s="52" t="str">
        <x:v>Los Angeles</x:v>
      </x:c>
      <x:c r="E142" s="52" t="str">
        <x:v>wayfinding</x:v>
      </x:c>
      <x:c r="F142" s="52" t="str">
        <x:v>Multilingual wayfinding</x:v>
      </x:c>
      <x:c r="G142" s="52" t="str">
        <x:v>permanent</x:v>
      </x:c>
      <x:c r="H142" s="52" t="str">
        <x:v>la-sofi-south-plaza</x:v>
      </x:c>
      <x:c r="I142" s="52" t="str">
        <x:v>LA-SPP</x:v>
      </x:c>
      <x:c r="J142" s="52" t="str">
        <x:v>SoFi south plaza at Pincay Drive and Prairie Avenue</x:v>
      </x:c>
      <x:c r="K142" s="53" t="n">
        <x:v>33.9509</x:v>
      </x:c>
      <x:c r="L142" s="53" t="n">
        <x:v>-118.3441</x:v>
      </x:c>
      <x:c r="M142" s="56" t="n">
        <x:v>350</x:v>
      </x:c>
      <x:c r="N142" s="56" t="str">
        <x:v>point_model</x:v>
      </x:c>
      <x:c r="O142" s="56" t="n">
        <x:v>1</x:v>
      </x:c>
      <x:c r="P142" s="56" t="n">
        <x:v>1</x:v>
      </x:c>
      <x:c r="Q142" s="56" t="n">
        <x:v>4</x:v>
      </x:c>
      <x:c r="R142" s="56" t="n">
        <x:v>317</x:v>
      </x:c>
      <x:c r="S142" s="56" t="n">
        <x:v>0.1</x:v>
      </x:c>
      <x:c r="T142" s="52" t="str">
        <x:v>#2563EB</x:v>
      </x:c>
      <x:c r="U142" s="55" t="n">
        <x:v>0.85</x:v>
      </x:c>
      <x:c r="V142" s="58" t="n">
        <x:f>'Funding Categories'!M78</x:f>
        <x:v>165000</x:v>
      </x:c>
      <x:c r="W142" s="52" t="str">
        <x:f>IF(V142&gt;0,"Yes","No")</x:f>
        <x:v>Yes</x:v>
      </x:c>
      <x:c r="X142" s="52" t="str">
        <x:v>fixed multilingual physical and digital wayfinding</x:v>
      </x:c>
      <x:c r="Y142" s="52" t="str">
        <x:v>concept_only</x:v>
      </x:c>
      <x:c r="Z142" s="52" t="str">
        <x:v>planning_anchor ±25–100 m</x:v>
      </x:c>
      <x:c r="AA142" s="52" t="str">
        <x:v>engineering_assumption</x:v>
      </x:c>
      <x:c r="AB142" s="52" t="str">
        <x:v>https://www.sofistadium.com/plan-your-visit/maps</x:v>
      </x:c>
    </x:row>
    <x:row r="143">
      <x:c r="A143" s="52" t="str">
        <x:v>los-angeles-station-TMP</x:v>
      </x:c>
      <x:c r="B143" s="52" t="n">
        <x:v>6</x:v>
      </x:c>
      <x:c r="C143" s="52" t="str">
        <x:v>los-angeles</x:v>
      </x:c>
      <x:c r="D143" s="52" t="str">
        <x:v>Los Angeles</x:v>
      </x:c>
      <x:c r="E143" s="52" t="str">
        <x:v>station</x:v>
      </x:c>
      <x:c r="F143" s="52" t="str">
        <x:v>Station-capacity package</x:v>
      </x:c>
      <x:c r="G143" s="52" t="str">
        <x:v>temporary</x:v>
      </x:c>
      <x:c r="H143" s="52" t="str">
        <x:v>la-sofi-south-plaza</x:v>
      </x:c>
      <x:c r="I143" s="52" t="str">
        <x:v>LA-SPP</x:v>
      </x:c>
      <x:c r="J143" s="52" t="str">
        <x:v>SoFi south plaza at Pincay Drive and Prairie Avenue</x:v>
      </x:c>
      <x:c r="K143" s="53" t="n">
        <x:v>33.9509</x:v>
      </x:c>
      <x:c r="L143" s="53" t="n">
        <x:v>-118.3441</x:v>
      </x:c>
      <x:c r="M143" s="56" t="n">
        <x:v>350</x:v>
      </x:c>
      <x:c r="N143" s="56" t="str">
        <x:v>glb_model</x:v>
      </x:c>
      <x:c r="O143" s="56" t="n">
        <x:v>120</x:v>
      </x:c>
      <x:c r="P143" s="56" t="n">
        <x:v>45</x:v>
      </x:c>
      <x:c r="Q143" s="56" t="n">
        <x:v>6</x:v>
      </x:c>
      <x:c r="R143" s="56" t="n">
        <x:v>327</x:v>
      </x:c>
      <x:c r="S143" s="56" t="n">
        <x:v>0.05</x:v>
      </x:c>
      <x:c r="T143" s="52" t="str">
        <x:v>#F59E0B</x:v>
      </x:c>
      <x:c r="U143" s="55" t="n">
        <x:v>0.55</x:v>
      </x:c>
      <x:c r="V143" s="58" t="n">
        <x:f>'Funding Categories'!L79</x:f>
        <x:v>0</x:v>
      </x:c>
      <x:c r="W143" s="52" t="str">
        <x:f>IF(V143&gt;0,"Yes","No")</x:f>
        <x:v>No</x:v>
      </x:c>
      <x:c r="X143" s="52" t="str">
        <x:v>temporary gates; queue barriers; portable fare equipment</x:v>
      </x:c>
      <x:c r="Y143" s="52" t="str">
        <x:v>concept_only</x:v>
      </x:c>
      <x:c r="Z143" s="52" t="str">
        <x:v>planning_anchor ±25–100 m</x:v>
      </x:c>
      <x:c r="AA143" s="52" t="str">
        <x:v>engineering_assumption</x:v>
      </x:c>
      <x:c r="AB143" s="52" t="str">
        <x:v>https://www.sofistadium.com/plan-your-visit/maps</x:v>
      </x:c>
    </x:row>
    <x:row r="144">
      <x:c r="A144" s="52" t="str">
        <x:v>los-angeles-station-PERM</x:v>
      </x:c>
      <x:c r="B144" s="52" t="n">
        <x:v>6</x:v>
      </x:c>
      <x:c r="C144" s="52" t="str">
        <x:v>los-angeles</x:v>
      </x:c>
      <x:c r="D144" s="52" t="str">
        <x:v>Los Angeles</x:v>
      </x:c>
      <x:c r="E144" s="52" t="str">
        <x:v>station</x:v>
      </x:c>
      <x:c r="F144" s="52" t="str">
        <x:v>Station-capacity package</x:v>
      </x:c>
      <x:c r="G144" s="52" t="str">
        <x:v>permanent</x:v>
      </x:c>
      <x:c r="H144" s="52" t="str">
        <x:v>la-sofi-south-plaza</x:v>
      </x:c>
      <x:c r="I144" s="52" t="str">
        <x:v>LA-SPP</x:v>
      </x:c>
      <x:c r="J144" s="52" t="str">
        <x:v>SoFi south plaza at Pincay Drive and Prairie Avenue</x:v>
      </x:c>
      <x:c r="K144" s="53" t="n">
        <x:v>33.9509</x:v>
      </x:c>
      <x:c r="L144" s="53" t="n">
        <x:v>-118.3441</x:v>
      </x:c>
      <x:c r="M144" s="56" t="n">
        <x:v>350</x:v>
      </x:c>
      <x:c r="N144" s="56" t="str">
        <x:v>glb_model</x:v>
      </x:c>
      <x:c r="O144" s="56" t="n">
        <x:v>120</x:v>
      </x:c>
      <x:c r="P144" s="56" t="n">
        <x:v>45</x:v>
      </x:c>
      <x:c r="Q144" s="56" t="n">
        <x:v>18</x:v>
      </x:c>
      <x:c r="R144" s="56" t="n">
        <x:v>334</x:v>
      </x:c>
      <x:c r="S144" s="56" t="n">
        <x:v>0.1</x:v>
      </x:c>
      <x:c r="T144" s="52" t="str">
        <x:v>#2563EB</x:v>
      </x:c>
      <x:c r="U144" s="55" t="n">
        <x:v>0.85</x:v>
      </x:c>
      <x:c r="V144" s="58" t="n">
        <x:f>'Funding Categories'!M79</x:f>
        <x:v>0</x:v>
      </x:c>
      <x:c r="W144" s="52" t="str">
        <x:f>IF(V144&gt;0,"Yes","No")</x:f>
        <x:v>No</x:v>
      </x:c>
      <x:c r="X144" s="52" t="str">
        <x:v>platform, entry and circulation expansion</x:v>
      </x:c>
      <x:c r="Y144" s="52" t="str">
        <x:v>concept_only</x:v>
      </x:c>
      <x:c r="Z144" s="52" t="str">
        <x:v>planning_anchor ±25–100 m</x:v>
      </x:c>
      <x:c r="AA144" s="52" t="str">
        <x:v>engineering_assumption</x:v>
      </x:c>
      <x:c r="AB144" s="52" t="str">
        <x:v>https://www.sofistadium.com/plan-your-visit/maps</x:v>
      </x:c>
    </x:row>
    <x:row r="145">
      <x:c r="A145" s="52" t="str">
        <x:v>los-angeles-toc-TMP</x:v>
      </x:c>
      <x:c r="B145" s="52" t="n">
        <x:v>6</x:v>
      </x:c>
      <x:c r="C145" s="52" t="str">
        <x:v>los-angeles</x:v>
      </x:c>
      <x:c r="D145" s="52" t="str">
        <x:v>Los Angeles</x:v>
      </x:c>
      <x:c r="E145" s="52" t="str">
        <x:v>toc</x:v>
      </x:c>
      <x:c r="F145" s="52" t="str">
        <x:v>Integrated traffic operations</x:v>
      </x:c>
      <x:c r="G145" s="52" t="str">
        <x:v>temporary</x:v>
      </x:c>
      <x:c r="H145" s="52" t="str">
        <x:v>la-downtown-inglewood</x:v>
      </x:c>
      <x:c r="I145" s="52" t="str">
        <x:v>LA-DTI</x:v>
      </x:c>
      <x:c r="J145" s="52" t="str">
        <x:v>Downtown Inglewood K Line shuttle interchange</x:v>
      </x:c>
      <x:c r="K145" s="53" t="n">
        <x:v>33.9552</x:v>
      </x:c>
      <x:c r="L145" s="53" t="n">
        <x:v>-118.3557</x:v>
      </x:c>
      <x:c r="M145" s="56" t="n">
        <x:v>400</x:v>
      </x:c>
      <x:c r="N145" s="56" t="str">
        <x:v>glb_model</x:v>
      </x:c>
      <x:c r="O145" s="56" t="n">
        <x:v>60</x:v>
      </x:c>
      <x:c r="P145" s="56" t="n">
        <x:v>40</x:v>
      </x:c>
      <x:c r="Q145" s="56" t="n">
        <x:v>4</x:v>
      </x:c>
      <x:c r="R145" s="56" t="n">
        <x:v>344</x:v>
      </x:c>
      <x:c r="S145" s="56" t="n">
        <x:v>0.05</x:v>
      </x:c>
      <x:c r="T145" s="52" t="str">
        <x:v>#F59E0B</x:v>
      </x:c>
      <x:c r="U145" s="55" t="n">
        <x:v>0.55</x:v>
      </x:c>
      <x:c r="V145" s="58" t="n">
        <x:f>'Funding Categories'!L80</x:f>
        <x:v>375000</x:v>
      </x:c>
      <x:c r="W145" s="52" t="str">
        <x:f>IF(V145&gt;0,"Yes","No")</x:f>
        <x:v>Yes</x:v>
      </x:c>
      <x:c r="X145" s="52" t="str">
        <x:v>unified incident command and temporary sensor feeds</x:v>
      </x:c>
      <x:c r="Y145" s="52" t="str">
        <x:v>concept_only</x:v>
      </x:c>
      <x:c r="Z145" s="52" t="str">
        <x:v>planning_anchor ±25–100 m</x:v>
      </x:c>
      <x:c r="AA145" s="52" t="str">
        <x:v>engineering_assumption</x:v>
      </x:c>
      <x:c r="AB145" s="52" t="str">
        <x:v>https://www.metro.net/riding/gameday/</x:v>
      </x:c>
    </x:row>
    <x:row r="146">
      <x:c r="A146" s="52" t="str">
        <x:v>los-angeles-toc-PERM</x:v>
      </x:c>
      <x:c r="B146" s="52" t="n">
        <x:v>6</x:v>
      </x:c>
      <x:c r="C146" s="52" t="str">
        <x:v>los-angeles</x:v>
      </x:c>
      <x:c r="D146" s="52" t="str">
        <x:v>Los Angeles</x:v>
      </x:c>
      <x:c r="E146" s="52" t="str">
        <x:v>toc</x:v>
      </x:c>
      <x:c r="F146" s="52" t="str">
        <x:v>Integrated traffic operations</x:v>
      </x:c>
      <x:c r="G146" s="52" t="str">
        <x:v>permanent</x:v>
      </x:c>
      <x:c r="H146" s="52" t="str">
        <x:v>la-downtown-inglewood</x:v>
      </x:c>
      <x:c r="I146" s="52" t="str">
        <x:v>LA-DTI</x:v>
      </x:c>
      <x:c r="J146" s="52" t="str">
        <x:v>Downtown Inglewood K Line shuttle interchange</x:v>
      </x:c>
      <x:c r="K146" s="53" t="n">
        <x:v>33.9552</x:v>
      </x:c>
      <x:c r="L146" s="53" t="n">
        <x:v>-118.3557</x:v>
      </x:c>
      <x:c r="M146" s="56" t="n">
        <x:v>400</x:v>
      </x:c>
      <x:c r="N146" s="56" t="str">
        <x:v>glb_model</x:v>
      </x:c>
      <x:c r="O146" s="56" t="n">
        <x:v>60</x:v>
      </x:c>
      <x:c r="P146" s="56" t="n">
        <x:v>40</x:v>
      </x:c>
      <x:c r="Q146" s="56" t="n">
        <x:v>12</x:v>
      </x:c>
      <x:c r="R146" s="56" t="n">
        <x:v>351</x:v>
      </x:c>
      <x:c r="S146" s="56" t="n">
        <x:v>0.1</x:v>
      </x:c>
      <x:c r="T146" s="52" t="str">
        <x:v>#2563EB</x:v>
      </x:c>
      <x:c r="U146" s="55" t="n">
        <x:v>0.85</x:v>
      </x:c>
      <x:c r="V146" s="58" t="n">
        <x:f>'Funding Categories'!M80</x:f>
        <x:v>1125000</x:v>
      </x:c>
      <x:c r="W146" s="52" t="str">
        <x:f>IF(V146&gt;0,"Yes","No")</x:f>
        <x:v>Yes</x:v>
      </x:c>
      <x:c r="X146" s="52" t="str">
        <x:v>integrated operations center and adaptive dispatch</x:v>
      </x:c>
      <x:c r="Y146" s="52" t="str">
        <x:v>concept_only</x:v>
      </x:c>
      <x:c r="Z146" s="52" t="str">
        <x:v>planning_anchor ±25–100 m</x:v>
      </x:c>
      <x:c r="AA146" s="52" t="str">
        <x:v>engineering_assumption</x:v>
      </x:c>
      <x:c r="AB146" s="52" t="str">
        <x:v>https://www.metro.net/riding/gameday/</x:v>
      </x:c>
    </x:row>
    <x:row r="147">
      <x:c r="A147" s="52" t="str">
        <x:v>los-angeles-access-TMP</x:v>
      </x:c>
      <x:c r="B147" s="52" t="n">
        <x:v>6</x:v>
      </x:c>
      <x:c r="C147" s="52" t="str">
        <x:v>los-angeles</x:v>
      </x:c>
      <x:c r="D147" s="52" t="str">
        <x:v>Los Angeles</x:v>
      </x:c>
      <x:c r="E147" s="52" t="str">
        <x:v>access</x:v>
      </x:c>
      <x:c r="F147" s="52" t="str">
        <x:v>ADA/microtransit access</x:v>
      </x:c>
      <x:c r="G147" s="52" t="str">
        <x:v>temporary</x:v>
      </x:c>
      <x:c r="H147" s="52" t="str">
        <x:v>la-sofi-south-plaza</x:v>
      </x:c>
      <x:c r="I147" s="52" t="str">
        <x:v>LA-SPP</x:v>
      </x:c>
      <x:c r="J147" s="52" t="str">
        <x:v>SoFi south plaza at Pincay Drive and Prairie Avenue</x:v>
      </x:c>
      <x:c r="K147" s="53" t="n">
        <x:v>33.9509</x:v>
      </x:c>
      <x:c r="L147" s="53" t="n">
        <x:v>-118.3441</x:v>
      </x:c>
      <x:c r="M147" s="56" t="n">
        <x:v>350</x:v>
      </x:c>
      <x:c r="N147" s="56" t="str">
        <x:v>line_extrusion</x:v>
      </x:c>
      <x:c r="O147" s="56" t="n">
        <x:v>800</x:v>
      </x:c>
      <x:c r="P147" s="56" t="n">
        <x:v>3</x:v>
      </x:c>
      <x:c r="Q147" s="56" t="n">
        <x:v>0.1</x:v>
      </x:c>
      <x:c r="R147" s="56" t="n">
        <x:v>1</x:v>
      </x:c>
      <x:c r="S147" s="56" t="n">
        <x:v>0.05</x:v>
      </x:c>
      <x:c r="T147" s="52" t="str">
        <x:v>#F59E0B</x:v>
      </x:c>
      <x:c r="U147" s="55" t="n">
        <x:v>0.55</x:v>
      </x:c>
      <x:c r="V147" s="58" t="n">
        <x:f>'Funding Categories'!L81</x:f>
        <x:v>0</x:v>
      </x:c>
      <x:c r="W147" s="52" t="str">
        <x:f>IF(V147&gt;0,"Yes","No")</x:f>
        <x:v>No</x:v>
      </x:c>
      <x:c r="X147" s="52" t="str">
        <x:v>accessible shuttles; temporary ramps and staffed assistance</x:v>
      </x:c>
      <x:c r="Y147" s="52" t="str">
        <x:v>concept_only</x:v>
      </x:c>
      <x:c r="Z147" s="52" t="str">
        <x:v>planning_anchor ±25–100 m</x:v>
      </x:c>
      <x:c r="AA147" s="52" t="str">
        <x:v>engineering_assumption</x:v>
      </x:c>
      <x:c r="AB147" s="52" t="str">
        <x:v>https://www.sofistadium.com/plan-your-visit/maps</x:v>
      </x:c>
    </x:row>
    <x:row r="148">
      <x:c r="A148" s="52" t="str">
        <x:v>los-angeles-access-PERM</x:v>
      </x:c>
      <x:c r="B148" s="52" t="n">
        <x:v>6</x:v>
      </x:c>
      <x:c r="C148" s="52" t="str">
        <x:v>los-angeles</x:v>
      </x:c>
      <x:c r="D148" s="52" t="str">
        <x:v>Los Angeles</x:v>
      </x:c>
      <x:c r="E148" s="52" t="str">
        <x:v>access</x:v>
      </x:c>
      <x:c r="F148" s="52" t="str">
        <x:v>ADA/microtransit access</x:v>
      </x:c>
      <x:c r="G148" s="52" t="str">
        <x:v>permanent</x:v>
      </x:c>
      <x:c r="H148" s="52" t="str">
        <x:v>la-sofi-south-plaza</x:v>
      </x:c>
      <x:c r="I148" s="52" t="str">
        <x:v>LA-SPP</x:v>
      </x:c>
      <x:c r="J148" s="52" t="str">
        <x:v>SoFi south plaza at Pincay Drive and Prairie Avenue</x:v>
      </x:c>
      <x:c r="K148" s="53" t="n">
        <x:v>33.9509</x:v>
      </x:c>
      <x:c r="L148" s="53" t="n">
        <x:v>-118.3441</x:v>
      </x:c>
      <x:c r="M148" s="56" t="n">
        <x:v>350</x:v>
      </x:c>
      <x:c r="N148" s="56" t="str">
        <x:v>line_extrusion</x:v>
      </x:c>
      <x:c r="O148" s="56" t="n">
        <x:v>800</x:v>
      </x:c>
      <x:c r="P148" s="56" t="n">
        <x:v>3</x:v>
      </x:c>
      <x:c r="Q148" s="56" t="n">
        <x:v>0.1</x:v>
      </x:c>
      <x:c r="R148" s="56" t="n">
        <x:v>8</x:v>
      </x:c>
      <x:c r="S148" s="56" t="n">
        <x:v>0.1</x:v>
      </x:c>
      <x:c r="T148" s="52" t="str">
        <x:v>#2563EB</x:v>
      </x:c>
      <x:c r="U148" s="55" t="n">
        <x:v>0.85</x:v>
      </x:c>
      <x:c r="V148" s="58" t="n">
        <x:f>'Funding Categories'!M81</x:f>
        <x:v>0</x:v>
      </x:c>
      <x:c r="W148" s="52" t="str">
        <x:f>IF(V148&gt;0,"Yes","No")</x:f>
        <x:v>No</x:v>
      </x:c>
      <x:c r="X148" s="52" t="str">
        <x:v>ADA ramps; tactile guidance; accessible first/last-mile network</x:v>
      </x:c>
      <x:c r="Y148" s="52" t="str">
        <x:v>concept_only</x:v>
      </x:c>
      <x:c r="Z148" s="52" t="str">
        <x:v>planning_anchor ±25–100 m</x:v>
      </x:c>
      <x:c r="AA148" s="52" t="str">
        <x:v>engineering_assumption</x:v>
      </x:c>
      <x:c r="AB148" s="52" t="str">
        <x:v>https://www.sofistadium.com/plan-your-visit/maps</x:v>
      </x:c>
    </x:row>
    <x:row r="149">
      <x:c r="A149" s="52" t="str">
        <x:v>miami-service-TMP</x:v>
      </x:c>
      <x:c r="B149" s="52" t="n">
        <x:v>7</x:v>
      </x:c>
      <x:c r="C149" s="52" t="str">
        <x:v>miami</x:v>
      </x:c>
      <x:c r="D149" s="52" t="str">
        <x:v>Miami</x:v>
      </x:c>
      <x:c r="E149" s="52" t="str">
        <x:v>service</x:v>
      </x:c>
      <x:c r="F149" s="52" t="str">
        <x:v>Extra transit service</x:v>
      </x:c>
      <x:c r="G149" s="52" t="str">
        <x:v>temporary</x:v>
      </x:c>
      <x:c r="H149" s="52" t="str">
        <x:v>mia-nw199-nw27</x:v>
      </x:c>
      <x:c r="I149" s="52" t="str">
        <x:v>MIA-NW27</x:v>
      </x:c>
      <x:c r="J149" s="52" t="str">
        <x:v>NW 199th Street and NW 27th Avenue approach</x:v>
      </x:c>
      <x:c r="K149" s="53" t="n">
        <x:v>25.957</x:v>
      </x:c>
      <x:c r="L149" s="53" t="n">
        <x:v>-80.2425</x:v>
      </x:c>
      <x:c r="M149" s="56" t="n">
        <x:v>400</x:v>
      </x:c>
      <x:c r="N149" s="56" t="str">
        <x:v>animated_route</x:v>
      </x:c>
      <x:c r="O149" s="56" t="n">
        <x:v>1500</x:v>
      </x:c>
      <x:c r="P149" s="56" t="n">
        <x:v>2</x:v>
      </x:c>
      <x:c r="Q149" s="56" t="n">
        <x:v>0.5</x:v>
      </x:c>
      <x:c r="R149" s="56" t="n">
        <x:v>203</x:v>
      </x:c>
      <x:c r="S149" s="56" t="n">
        <x:v>0.05</x:v>
      </x:c>
      <x:c r="T149" s="52" t="str">
        <x:v>#F59E0B</x:v>
      </x:c>
      <x:c r="U149" s="55" t="n">
        <x:v>0.55</x:v>
      </x:c>
      <x:c r="V149" s="58" t="n">
        <x:f>'Funding Categories'!L83</x:f>
        <x:v>1320000</x:v>
      </x:c>
      <x:c r="W149" s="52" t="str">
        <x:f>IF(V149&gt;0,"Yes","No")</x:f>
        <x:v>Yes</x:v>
      </x:c>
      <x:c r="X149" s="52" t="str">
        <x:v>extra rail/bus vehicle-hours; standby operators; event timetable</x:v>
      </x:c>
      <x:c r="Y149" s="52" t="str">
        <x:v>concept_only</x:v>
      </x:c>
      <x:c r="Z149" s="52" t="str">
        <x:v>planning_anchor ±25–100 m</x:v>
      </x:c>
      <x:c r="AA149" s="52" t="str">
        <x:v>engineering_assumption</x:v>
      </x:c>
      <x:c r="AB149" s="52" t="str">
        <x:v>https://www.hardrockstadium.com/parking/</x:v>
      </x:c>
    </x:row>
    <x:row r="150">
      <x:c r="A150" s="52" t="str">
        <x:v>miami-service-PERM</x:v>
      </x:c>
      <x:c r="B150" s="52" t="n">
        <x:v>7</x:v>
      </x:c>
      <x:c r="C150" s="52" t="str">
        <x:v>miami</x:v>
      </x:c>
      <x:c r="D150" s="52" t="str">
        <x:v>Miami</x:v>
      </x:c>
      <x:c r="E150" s="52" t="str">
        <x:v>service</x:v>
      </x:c>
      <x:c r="F150" s="52" t="str">
        <x:v>Extra transit service</x:v>
      </x:c>
      <x:c r="G150" s="52" t="str">
        <x:v>permanent</x:v>
      </x:c>
      <x:c r="H150" s="52" t="str">
        <x:v>mia-nw199-nw27</x:v>
      </x:c>
      <x:c r="I150" s="52" t="str">
        <x:v>MIA-NW27</x:v>
      </x:c>
      <x:c r="J150" s="52" t="str">
        <x:v>NW 199th Street and NW 27th Avenue approach</x:v>
      </x:c>
      <x:c r="K150" s="53" t="n">
        <x:v>25.957</x:v>
      </x:c>
      <x:c r="L150" s="53" t="n">
        <x:v>-80.2425</x:v>
      </x:c>
      <x:c r="M150" s="56" t="n">
        <x:v>400</x:v>
      </x:c>
      <x:c r="N150" s="56" t="str">
        <x:v>animated_route</x:v>
      </x:c>
      <x:c r="O150" s="56" t="n">
        <x:v>1500</x:v>
      </x:c>
      <x:c r="P150" s="56" t="n">
        <x:v>2</x:v>
      </x:c>
      <x:c r="Q150" s="56" t="n">
        <x:v>1</x:v>
      </x:c>
      <x:c r="R150" s="56" t="n">
        <x:v>210</x:v>
      </x:c>
      <x:c r="S150" s="56" t="n">
        <x:v>0.1</x:v>
      </x:c>
      <x:c r="T150" s="52" t="str">
        <x:v>#2563EB</x:v>
      </x:c>
      <x:c r="U150" s="55" t="n">
        <x:v>0.85</x:v>
      </x:c>
      <x:c r="V150" s="58" t="n">
        <x:f>'Funding Categories'!M83</x:f>
        <x:v>330000</x:v>
      </x:c>
      <x:c r="W150" s="52" t="str">
        <x:f>IF(V150&gt;0,"Yes","No")</x:f>
        <x:v>Yes</x:v>
      </x:c>
      <x:c r="X150" s="52" t="str">
        <x:v>recurring major-event service plan; fleet and stabling readiness</x:v>
      </x:c>
      <x:c r="Y150" s="52" t="str">
        <x:v>concept_only</x:v>
      </x:c>
      <x:c r="Z150" s="52" t="str">
        <x:v>planning_anchor ±25–100 m</x:v>
      </x:c>
      <x:c r="AA150" s="52" t="str">
        <x:v>engineering_assumption</x:v>
      </x:c>
      <x:c r="AB150" s="52" t="str">
        <x:v>https://www.hardrockstadium.com/parking/</x:v>
      </x:c>
    </x:row>
    <x:row r="151">
      <x:c r="A151" s="52" t="str">
        <x:v>miami-buslane-TMP</x:v>
      </x:c>
      <x:c r="B151" s="52" t="n">
        <x:v>7</x:v>
      </x:c>
      <x:c r="C151" s="52" t="str">
        <x:v>miami</x:v>
      </x:c>
      <x:c r="D151" s="52" t="str">
        <x:v>Miami</x:v>
      </x:c>
      <x:c r="E151" s="52" t="str">
        <x:v>buslane</x:v>
      </x:c>
      <x:c r="F151" s="52" t="str">
        <x:v>Transit-priority lanes</x:v>
      </x:c>
      <x:c r="G151" s="52" t="str">
        <x:v>temporary</x:v>
      </x:c>
      <x:c r="H151" s="52" t="str">
        <x:v>mia-south-gate</x:v>
      </x:c>
      <x:c r="I151" s="52" t="str">
        <x:v>MIA-SG</x:v>
      </x:c>
      <x:c r="J151" s="52" t="str">
        <x:v>Hard Rock Stadium south-gate rideshare and shuttle zone</x:v>
      </x:c>
      <x:c r="K151" s="53" t="n">
        <x:v>25.9549</x:v>
      </x:c>
      <x:c r="L151" s="53" t="n">
        <x:v>-80.2383</x:v>
      </x:c>
      <x:c r="M151" s="56" t="n">
        <x:v>350</x:v>
      </x:c>
      <x:c r="N151" s="56" t="str">
        <x:v>line_extrusion</x:v>
      </x:c>
      <x:c r="O151" s="56" t="n">
        <x:v>3200</x:v>
      </x:c>
      <x:c r="P151" s="56" t="n">
        <x:v>3.5</x:v>
      </x:c>
      <x:c r="Q151" s="56" t="n">
        <x:v>0.1</x:v>
      </x:c>
      <x:c r="R151" s="56" t="n">
        <x:v>220</x:v>
      </x:c>
      <x:c r="S151" s="56" t="n">
        <x:v>0.05</x:v>
      </x:c>
      <x:c r="T151" s="52" t="str">
        <x:v>#F59E0B</x:v>
      </x:c>
      <x:c r="U151" s="55" t="n">
        <x:v>0.55</x:v>
      </x:c>
      <x:c r="V151" s="58" t="n">
        <x:f>'Funding Categories'!L84</x:f>
        <x:v>648000</x:v>
      </x:c>
      <x:c r="W151" s="52" t="str">
        <x:f>IF(V151&gt;0,"Yes","No")</x:f>
        <x:v>Yes</x:v>
      </x:c>
      <x:c r="X151" s="52" t="str">
        <x:v>cone- and paint-defined bus lane with enforcement</x:v>
      </x:c>
      <x:c r="Y151" s="52" t="str">
        <x:v>concept_only</x:v>
      </x:c>
      <x:c r="Z151" s="52" t="str">
        <x:v>planning_anchor ±25–100 m</x:v>
      </x:c>
      <x:c r="AA151" s="52" t="str">
        <x:v>engineering_assumption</x:v>
      </x:c>
      <x:c r="AB151" s="52" t="str">
        <x:v>https://www.hardrockstadium.com/parking/</x:v>
      </x:c>
    </x:row>
    <x:row r="152">
      <x:c r="A152" s="52" t="str">
        <x:v>miami-buslane-PERM</x:v>
      </x:c>
      <x:c r="B152" s="52" t="n">
        <x:v>7</x:v>
      </x:c>
      <x:c r="C152" s="52" t="str">
        <x:v>miami</x:v>
      </x:c>
      <x:c r="D152" s="52" t="str">
        <x:v>Miami</x:v>
      </x:c>
      <x:c r="E152" s="52" t="str">
        <x:v>buslane</x:v>
      </x:c>
      <x:c r="F152" s="52" t="str">
        <x:v>Transit-priority lanes</x:v>
      </x:c>
      <x:c r="G152" s="52" t="str">
        <x:v>permanent</x:v>
      </x:c>
      <x:c r="H152" s="52" t="str">
        <x:v>mia-south-gate</x:v>
      </x:c>
      <x:c r="I152" s="52" t="str">
        <x:v>MIA-SG</x:v>
      </x:c>
      <x:c r="J152" s="52" t="str">
        <x:v>Hard Rock Stadium south-gate rideshare and shuttle zone</x:v>
      </x:c>
      <x:c r="K152" s="53" t="n">
        <x:v>25.9549</x:v>
      </x:c>
      <x:c r="L152" s="53" t="n">
        <x:v>-80.2383</x:v>
      </x:c>
      <x:c r="M152" s="56" t="n">
        <x:v>350</x:v>
      </x:c>
      <x:c r="N152" s="56" t="str">
        <x:v>line_extrusion</x:v>
      </x:c>
      <x:c r="O152" s="56" t="n">
        <x:v>3200</x:v>
      </x:c>
      <x:c r="P152" s="56" t="n">
        <x:v>3.5</x:v>
      </x:c>
      <x:c r="Q152" s="56" t="n">
        <x:v>0.1</x:v>
      </x:c>
      <x:c r="R152" s="56" t="n">
        <x:v>227</x:v>
      </x:c>
      <x:c r="S152" s="56" t="n">
        <x:v>0.1</x:v>
      </x:c>
      <x:c r="T152" s="52" t="str">
        <x:v>#2563EB</x:v>
      </x:c>
      <x:c r="U152" s="55" t="n">
        <x:v>0.85</x:v>
      </x:c>
      <x:c r="V152" s="58" t="n">
        <x:f>'Funding Categories'!M84</x:f>
        <x:v>792000</x:v>
      </x:c>
      <x:c r="W152" s="52" t="str">
        <x:f>IF(V152&gt;0,"Yes","No")</x:f>
        <x:v>Yes</x:v>
      </x:c>
      <x:c r="X152" s="52" t="str">
        <x:v>dedicated or peak-period transit-priority lane</x:v>
      </x:c>
      <x:c r="Y152" s="52" t="str">
        <x:v>concept_only</x:v>
      </x:c>
      <x:c r="Z152" s="52" t="str">
        <x:v>planning_anchor ±25–100 m</x:v>
      </x:c>
      <x:c r="AA152" s="52" t="str">
        <x:v>engineering_assumption</x:v>
      </x:c>
      <x:c r="AB152" s="52" t="str">
        <x:v>https://www.hardrockstadium.com/parking/</x:v>
      </x:c>
    </x:row>
    <x:row r="153">
      <x:c r="A153" s="52" t="str">
        <x:v>miami-signals-TMP</x:v>
      </x:c>
      <x:c r="B153" s="52" t="n">
        <x:v>7</x:v>
      </x:c>
      <x:c r="C153" s="52" t="str">
        <x:v>miami</x:v>
      </x:c>
      <x:c r="D153" s="52" t="str">
        <x:v>Miami</x:v>
      </x:c>
      <x:c r="E153" s="52" t="str">
        <x:v>signals</x:v>
      </x:c>
      <x:c r="F153" s="52" t="str">
        <x:v>Signal timing plans</x:v>
      </x:c>
      <x:c r="G153" s="52" t="str">
        <x:v>temporary</x:v>
      </x:c>
      <x:c r="H153" s="52" t="str">
        <x:v>mia-south-gate</x:v>
      </x:c>
      <x:c r="I153" s="52" t="str">
        <x:v>MIA-SG</x:v>
      </x:c>
      <x:c r="J153" s="52" t="str">
        <x:v>Hard Rock Stadium south-gate rideshare and shuttle zone</x:v>
      </x:c>
      <x:c r="K153" s="53" t="n">
        <x:v>25.9549</x:v>
      </x:c>
      <x:c r="L153" s="53" t="n">
        <x:v>-80.2383</x:v>
      </x:c>
      <x:c r="M153" s="56" t="n">
        <x:v>350</x:v>
      </x:c>
      <x:c r="N153" s="56" t="str">
        <x:v>point_model</x:v>
      </x:c>
      <x:c r="O153" s="56" t="n">
        <x:v>1</x:v>
      </x:c>
      <x:c r="P153" s="56" t="n">
        <x:v>1</x:v>
      </x:c>
      <x:c r="Q153" s="56" t="n">
        <x:v>3</x:v>
      </x:c>
      <x:c r="R153" s="56" t="n">
        <x:v>237</x:v>
      </x:c>
      <x:c r="S153" s="56" t="n">
        <x:v>0.05</x:v>
      </x:c>
      <x:c r="T153" s="52" t="str">
        <x:v>#F59E0B</x:v>
      </x:c>
      <x:c r="U153" s="55" t="n">
        <x:v>0.55</x:v>
      </x:c>
      <x:c r="V153" s="58" t="n">
        <x:f>'Funding Categories'!L85</x:f>
        <x:v>67500</x:v>
      </x:c>
      <x:c r="W153" s="52" t="str">
        <x:f>IF(V153&gt;0,"Yes","No")</x:f>
        <x:v>Yes</x:v>
      </x:c>
      <x:c r="X153" s="52" t="str">
        <x:v>police/manual traffic control and temporary timing plan</x:v>
      </x:c>
      <x:c r="Y153" s="52" t="str">
        <x:v>concept_only</x:v>
      </x:c>
      <x:c r="Z153" s="52" t="str">
        <x:v>planning_anchor ±25–100 m</x:v>
      </x:c>
      <x:c r="AA153" s="52" t="str">
        <x:v>engineering_assumption</x:v>
      </x:c>
      <x:c r="AB153" s="52" t="str">
        <x:v>https://www.hardrockstadium.com/parking/</x:v>
      </x:c>
    </x:row>
    <x:row r="154">
      <x:c r="A154" s="52" t="str">
        <x:v>miami-signals-PERM</x:v>
      </x:c>
      <x:c r="B154" s="52" t="n">
        <x:v>7</x:v>
      </x:c>
      <x:c r="C154" s="52" t="str">
        <x:v>miami</x:v>
      </x:c>
      <x:c r="D154" s="52" t="str">
        <x:v>Miami</x:v>
      </x:c>
      <x:c r="E154" s="52" t="str">
        <x:v>signals</x:v>
      </x:c>
      <x:c r="F154" s="52" t="str">
        <x:v>Signal timing plans</x:v>
      </x:c>
      <x:c r="G154" s="52" t="str">
        <x:v>permanent</x:v>
      </x:c>
      <x:c r="H154" s="52" t="str">
        <x:v>mia-south-gate</x:v>
      </x:c>
      <x:c r="I154" s="52" t="str">
        <x:v>MIA-SG</x:v>
      </x:c>
      <x:c r="J154" s="52" t="str">
        <x:v>Hard Rock Stadium south-gate rideshare and shuttle zone</x:v>
      </x:c>
      <x:c r="K154" s="53" t="n">
        <x:v>25.9549</x:v>
      </x:c>
      <x:c r="L154" s="53" t="n">
        <x:v>-80.2383</x:v>
      </x:c>
      <x:c r="M154" s="56" t="n">
        <x:v>350</x:v>
      </x:c>
      <x:c r="N154" s="56" t="str">
        <x:v>point_model</x:v>
      </x:c>
      <x:c r="O154" s="56" t="n">
        <x:v>1</x:v>
      </x:c>
      <x:c r="P154" s="56" t="n">
        <x:v>1</x:v>
      </x:c>
      <x:c r="Q154" s="56" t="n">
        <x:v>6</x:v>
      </x:c>
      <x:c r="R154" s="56" t="n">
        <x:v>244</x:v>
      </x:c>
      <x:c r="S154" s="56" t="n">
        <x:v>0.1</x:v>
      </x:c>
      <x:c r="T154" s="52" t="str">
        <x:v>#2563EB</x:v>
      </x:c>
      <x:c r="U154" s="55" t="n">
        <x:v>0.85</x:v>
      </x:c>
      <x:c r="V154" s="58" t="n">
        <x:f>'Funding Categories'!M85</x:f>
        <x:v>202500</x:v>
      </x:c>
      <x:c r="W154" s="52" t="str">
        <x:f>IF(V154&gt;0,"Yes","No")</x:f>
        <x:v>Yes</x:v>
      </x:c>
      <x:c r="X154" s="52" t="str">
        <x:v>adaptive controllers and transit signal priority</x:v>
      </x:c>
      <x:c r="Y154" s="52" t="str">
        <x:v>concept_only</x:v>
      </x:c>
      <x:c r="Z154" s="52" t="str">
        <x:v>planning_anchor ±25–100 m</x:v>
      </x:c>
      <x:c r="AA154" s="52" t="str">
        <x:v>engineering_assumption</x:v>
      </x:c>
      <x:c r="AB154" s="52" t="str">
        <x:v>https://www.hardrockstadium.com/parking/</x:v>
      </x:c>
    </x:row>
    <x:row r="155">
      <x:c r="A155" s="52" t="str">
        <x:v>miami-hub-TMP</x:v>
      </x:c>
      <x:c r="B155" s="52" t="n">
        <x:v>7</x:v>
      </x:c>
      <x:c r="C155" s="52" t="str">
        <x:v>miami</x:v>
      </x:c>
      <x:c r="D155" s="52" t="str">
        <x:v>Miami</x:v>
      </x:c>
      <x:c r="E155" s="52" t="str">
        <x:v>hub</x:v>
      </x:c>
      <x:c r="F155" s="52" t="str">
        <x:v>Hub-to-stadium shuttle package</x:v>
      </x:c>
      <x:c r="G155" s="52" t="str">
        <x:v>temporary</x:v>
      </x:c>
      <x:c r="H155" s="52" t="str">
        <x:v>mia-south-gate</x:v>
      </x:c>
      <x:c r="I155" s="52" t="str">
        <x:v>MIA-SG</x:v>
      </x:c>
      <x:c r="J155" s="52" t="str">
        <x:v>Hard Rock Stadium south-gate rideshare and shuttle zone</x:v>
      </x:c>
      <x:c r="K155" s="53" t="n">
        <x:v>25.9549</x:v>
      </x:c>
      <x:c r="L155" s="53" t="n">
        <x:v>-80.2383</x:v>
      </x:c>
      <x:c r="M155" s="56" t="n">
        <x:v>350</x:v>
      </x:c>
      <x:c r="N155" s="56" t="str">
        <x:v>polygon_extrusion</x:v>
      </x:c>
      <x:c r="O155" s="56" t="n">
        <x:v>90</x:v>
      </x:c>
      <x:c r="P155" s="56" t="n">
        <x:v>60</x:v>
      </x:c>
      <x:c r="Q155" s="56" t="n">
        <x:v>3</x:v>
      </x:c>
      <x:c r="R155" s="56" t="n">
        <x:v>254</x:v>
      </x:c>
      <x:c r="S155" s="56" t="n">
        <x:v>0.05</x:v>
      </x:c>
      <x:c r="T155" s="52" t="str">
        <x:v>#F59E0B</x:v>
      </x:c>
      <x:c r="U155" s="55" t="n">
        <x:v>0.55</x:v>
      </x:c>
      <x:c r="V155" s="58" t="n">
        <x:f>'Funding Categories'!L86</x:f>
        <x:v>900000</x:v>
      </x:c>
      <x:c r="W155" s="52" t="str">
        <x:f>IF(V155&gt;0,"Yes","No")</x:f>
        <x:v>Yes</x:v>
      </x:c>
      <x:c r="X155" s="52" t="str">
        <x:v>pop-up shuttle zone; temporary shelters and dispatch</x:v>
      </x:c>
      <x:c r="Y155" s="52" t="str">
        <x:v>concept_only</x:v>
      </x:c>
      <x:c r="Z155" s="52" t="str">
        <x:v>planning_anchor ±25–100 m</x:v>
      </x:c>
      <x:c r="AA155" s="52" t="str">
        <x:v>engineering_assumption</x:v>
      </x:c>
      <x:c r="AB155" s="52" t="str">
        <x:v>https://www.hardrockstadium.com/parking/</x:v>
      </x:c>
    </x:row>
    <x:row r="156">
      <x:c r="A156" s="52" t="str">
        <x:v>miami-hub-PERM</x:v>
      </x:c>
      <x:c r="B156" s="52" t="n">
        <x:v>7</x:v>
      </x:c>
      <x:c r="C156" s="52" t="str">
        <x:v>miami</x:v>
      </x:c>
      <x:c r="D156" s="52" t="str">
        <x:v>Miami</x:v>
      </x:c>
      <x:c r="E156" s="52" t="str">
        <x:v>hub</x:v>
      </x:c>
      <x:c r="F156" s="52" t="str">
        <x:v>Hub-to-stadium shuttle package</x:v>
      </x:c>
      <x:c r="G156" s="52" t="str">
        <x:v>permanent</x:v>
      </x:c>
      <x:c r="H156" s="52" t="str">
        <x:v>mia-south-gate</x:v>
      </x:c>
      <x:c r="I156" s="52" t="str">
        <x:v>MIA-SG</x:v>
      </x:c>
      <x:c r="J156" s="52" t="str">
        <x:v>Hard Rock Stadium south-gate rideshare and shuttle zone</x:v>
      </x:c>
      <x:c r="K156" s="53" t="n">
        <x:v>25.9549</x:v>
      </x:c>
      <x:c r="L156" s="53" t="n">
        <x:v>-80.2383</x:v>
      </x:c>
      <x:c r="M156" s="56" t="n">
        <x:v>350</x:v>
      </x:c>
      <x:c r="N156" s="56" t="str">
        <x:v>polygon_extrusion</x:v>
      </x:c>
      <x:c r="O156" s="56" t="n">
        <x:v>90</x:v>
      </x:c>
      <x:c r="P156" s="56" t="n">
        <x:v>60</x:v>
      </x:c>
      <x:c r="Q156" s="56" t="n">
        <x:v>6</x:v>
      </x:c>
      <x:c r="R156" s="56" t="n">
        <x:v>261</x:v>
      </x:c>
      <x:c r="S156" s="56" t="n">
        <x:v>0.1</x:v>
      </x:c>
      <x:c r="T156" s="52" t="str">
        <x:v>#2563EB</x:v>
      </x:c>
      <x:c r="U156" s="55" t="n">
        <x:v>0.85</x:v>
      </x:c>
      <x:c r="V156" s="58" t="n">
        <x:f>'Funding Categories'!M86</x:f>
        <x:v>1350000</x:v>
      </x:c>
      <x:c r="W156" s="52" t="str">
        <x:f>IF(V156&gt;0,"Yes","No")</x:f>
        <x:v>Yes</x:v>
      </x:c>
      <x:c r="X156" s="52" t="str">
        <x:v>permanent multimodal mobility hub</x:v>
      </x:c>
      <x:c r="Y156" s="52" t="str">
        <x:v>concept_only</x:v>
      </x:c>
      <x:c r="Z156" s="52" t="str">
        <x:v>planning_anchor ±25–100 m</x:v>
      </x:c>
      <x:c r="AA156" s="52" t="str">
        <x:v>engineering_assumption</x:v>
      </x:c>
      <x:c r="AB156" s="52" t="str">
        <x:v>https://www.hardrockstadium.com/parking/</x:v>
      </x:c>
    </x:row>
    <x:row r="157">
      <x:c r="A157" s="52" t="str">
        <x:v>miami-parkride-TMP</x:v>
      </x:c>
      <x:c r="B157" s="52" t="n">
        <x:v>7</x:v>
      </x:c>
      <x:c r="C157" s="52" t="str">
        <x:v>miami</x:v>
      </x:c>
      <x:c r="D157" s="52" t="str">
        <x:v>Miami</x:v>
      </x:c>
      <x:c r="E157" s="52" t="str">
        <x:v>parkride</x:v>
      </x:c>
      <x:c r="F157" s="52" t="str">
        <x:v>Park-and-ride package</x:v>
      </x:c>
      <x:c r="G157" s="52" t="str">
        <x:v>temporary</x:v>
      </x:c>
      <x:c r="H157" s="52" t="str">
        <x:v>mia-south-gate</x:v>
      </x:c>
      <x:c r="I157" s="52" t="str">
        <x:v>MIA-SG</x:v>
      </x:c>
      <x:c r="J157" s="52" t="str">
        <x:v>Hard Rock Stadium south-gate rideshare and shuttle zone</x:v>
      </x:c>
      <x:c r="K157" s="53" t="n">
        <x:v>25.9549</x:v>
      </x:c>
      <x:c r="L157" s="53" t="n">
        <x:v>-80.2383</x:v>
      </x:c>
      <x:c r="M157" s="56" t="n">
        <x:v>350</x:v>
      </x:c>
      <x:c r="N157" s="56" t="str">
        <x:v>polygon_extrusion</x:v>
      </x:c>
      <x:c r="O157" s="56" t="n">
        <x:v>220</x:v>
      </x:c>
      <x:c r="P157" s="56" t="n">
        <x:v>150</x:v>
      </x:c>
      <x:c r="Q157" s="56" t="n">
        <x:v>0.2</x:v>
      </x:c>
      <x:c r="R157" s="56" t="n">
        <x:v>271</x:v>
      </x:c>
      <x:c r="S157" s="56" t="n">
        <x:v>0.05</x:v>
      </x:c>
      <x:c r="T157" s="52" t="str">
        <x:v>#F59E0B</x:v>
      </x:c>
      <x:c r="U157" s="55" t="n">
        <x:v>0.55</x:v>
      </x:c>
      <x:c r="V157" s="58" t="n">
        <x:f>'Funding Categories'!L87</x:f>
        <x:v>225000</x:v>
      </x:c>
      <x:c r="W157" s="52" t="str">
        <x:f>IF(V157&gt;0,"Yes","No")</x:f>
        <x:v>Yes</x:v>
      </x:c>
      <x:c r="X157" s="52" t="str">
        <x:v>leased intercept lots and temporary signing</x:v>
      </x:c>
      <x:c r="Y157" s="52" t="str">
        <x:v>concept_only</x:v>
      </x:c>
      <x:c r="Z157" s="52" t="str">
        <x:v>planning_anchor ±25–100 m</x:v>
      </x:c>
      <x:c r="AA157" s="52" t="str">
        <x:v>engineering_assumption</x:v>
      </x:c>
      <x:c r="AB157" s="52" t="str">
        <x:v>https://www.hardrockstadium.com/parking/</x:v>
      </x:c>
    </x:row>
    <x:row r="158">
      <x:c r="A158" s="52" t="str">
        <x:v>miami-parkride-PERM</x:v>
      </x:c>
      <x:c r="B158" s="52" t="n">
        <x:v>7</x:v>
      </x:c>
      <x:c r="C158" s="52" t="str">
        <x:v>miami</x:v>
      </x:c>
      <x:c r="D158" s="52" t="str">
        <x:v>Miami</x:v>
      </x:c>
      <x:c r="E158" s="52" t="str">
        <x:v>parkride</x:v>
      </x:c>
      <x:c r="F158" s="52" t="str">
        <x:v>Park-and-ride package</x:v>
      </x:c>
      <x:c r="G158" s="52" t="str">
        <x:v>permanent</x:v>
      </x:c>
      <x:c r="H158" s="52" t="str">
        <x:v>mia-south-gate</x:v>
      </x:c>
      <x:c r="I158" s="52" t="str">
        <x:v>MIA-SG</x:v>
      </x:c>
      <x:c r="J158" s="52" t="str">
        <x:v>Hard Rock Stadium south-gate rideshare and shuttle zone</x:v>
      </x:c>
      <x:c r="K158" s="53" t="n">
        <x:v>25.9549</x:v>
      </x:c>
      <x:c r="L158" s="53" t="n">
        <x:v>-80.2383</x:v>
      </x:c>
      <x:c r="M158" s="56" t="n">
        <x:v>350</x:v>
      </x:c>
      <x:c r="N158" s="56" t="str">
        <x:v>polygon_extrusion</x:v>
      </x:c>
      <x:c r="O158" s="56" t="n">
        <x:v>220</x:v>
      </x:c>
      <x:c r="P158" s="56" t="n">
        <x:v>150</x:v>
      </x:c>
      <x:c r="Q158" s="56" t="n">
        <x:v>0.2</x:v>
      </x:c>
      <x:c r="R158" s="56" t="n">
        <x:v>278</x:v>
      </x:c>
      <x:c r="S158" s="56" t="n">
        <x:v>0.1</x:v>
      </x:c>
      <x:c r="T158" s="52" t="str">
        <x:v>#2563EB</x:v>
      </x:c>
      <x:c r="U158" s="55" t="n">
        <x:v>0.85</x:v>
      </x:c>
      <x:c r="V158" s="58" t="n">
        <x:f>'Funding Categories'!M87</x:f>
        <x:v>225000</x:v>
      </x:c>
      <x:c r="W158" s="52" t="str">
        <x:f>IF(V158&gt;0,"Yes","No")</x:f>
        <x:v>Yes</x:v>
      </x:c>
      <x:c r="X158" s="52" t="str">
        <x:v>permanent park-and-ride with charging and transit access</x:v>
      </x:c>
      <x:c r="Y158" s="52" t="str">
        <x:v>concept_only</x:v>
      </x:c>
      <x:c r="Z158" s="52" t="str">
        <x:v>planning_anchor ±25–100 m</x:v>
      </x:c>
      <x:c r="AA158" s="52" t="str">
        <x:v>engineering_assumption</x:v>
      </x:c>
      <x:c r="AB158" s="52" t="str">
        <x:v>https://www.hardrockstadium.com/parking/</x:v>
      </x:c>
    </x:row>
    <x:row r="159">
      <x:c r="A159" s="52" t="str">
        <x:v>miami-ped-TMP</x:v>
      </x:c>
      <x:c r="B159" s="52" t="n">
        <x:v>7</x:v>
      </x:c>
      <x:c r="C159" s="52" t="str">
        <x:v>miami</x:v>
      </x:c>
      <x:c r="D159" s="52" t="str">
        <x:v>Miami</x:v>
      </x:c>
      <x:c r="E159" s="52" t="str">
        <x:v>ped</x:v>
      </x:c>
      <x:c r="F159" s="52" t="str">
        <x:v>Protected pedestrian corridor</x:v>
      </x:c>
      <x:c r="G159" s="52" t="str">
        <x:v>temporary</x:v>
      </x:c>
      <x:c r="H159" s="52" t="str">
        <x:v>mia-nw199-nw27</x:v>
      </x:c>
      <x:c r="I159" s="52" t="str">
        <x:v>MIA-NW27</x:v>
      </x:c>
      <x:c r="J159" s="52" t="str">
        <x:v>NW 199th Street and NW 27th Avenue approach</x:v>
      </x:c>
      <x:c r="K159" s="53" t="n">
        <x:v>25.957</x:v>
      </x:c>
      <x:c r="L159" s="53" t="n">
        <x:v>-80.2425</x:v>
      </x:c>
      <x:c r="M159" s="56" t="n">
        <x:v>400</x:v>
      </x:c>
      <x:c r="N159" s="56" t="str">
        <x:v>line_extrusion</x:v>
      </x:c>
      <x:c r="O159" s="56" t="n">
        <x:v>1600</x:v>
      </x:c>
      <x:c r="P159" s="56" t="n">
        <x:v>6</x:v>
      </x:c>
      <x:c r="Q159" s="56" t="n">
        <x:v>0.15</x:v>
      </x:c>
      <x:c r="R159" s="56" t="n">
        <x:v>288</x:v>
      </x:c>
      <x:c r="S159" s="56" t="n">
        <x:v>0.05</x:v>
      </x:c>
      <x:c r="T159" s="52" t="str">
        <x:v>#F59E0B</x:v>
      </x:c>
      <x:c r="U159" s="55" t="n">
        <x:v>0.55</x:v>
      </x:c>
      <x:c r="V159" s="58" t="n">
        <x:f>'Funding Categories'!L88</x:f>
        <x:v>0</x:v>
      </x:c>
      <x:c r="W159" s="52" t="str">
        <x:f>IF(V159&gt;0,"Yes","No")</x:f>
        <x:v>No</x:v>
      </x:c>
      <x:c r="X159" s="52" t="str">
        <x:v>barricaded protected corridor; marshals and lighting</x:v>
      </x:c>
      <x:c r="Y159" s="52" t="str">
        <x:v>concept_only</x:v>
      </x:c>
      <x:c r="Z159" s="52" t="str">
        <x:v>planning_anchor ±25–100 m</x:v>
      </x:c>
      <x:c r="AA159" s="52" t="str">
        <x:v>engineering_assumption</x:v>
      </x:c>
      <x:c r="AB159" s="52" t="str">
        <x:v>https://www.hardrockstadium.com/parking/</x:v>
      </x:c>
    </x:row>
    <x:row r="160">
      <x:c r="A160" s="52" t="str">
        <x:v>miami-ped-PERM</x:v>
      </x:c>
      <x:c r="B160" s="52" t="n">
        <x:v>7</x:v>
      </x:c>
      <x:c r="C160" s="52" t="str">
        <x:v>miami</x:v>
      </x:c>
      <x:c r="D160" s="52" t="str">
        <x:v>Miami</x:v>
      </x:c>
      <x:c r="E160" s="52" t="str">
        <x:v>ped</x:v>
      </x:c>
      <x:c r="F160" s="52" t="str">
        <x:v>Protected pedestrian corridor</x:v>
      </x:c>
      <x:c r="G160" s="52" t="str">
        <x:v>permanent</x:v>
      </x:c>
      <x:c r="H160" s="52" t="str">
        <x:v>mia-nw199-nw27</x:v>
      </x:c>
      <x:c r="I160" s="52" t="str">
        <x:v>MIA-NW27</x:v>
      </x:c>
      <x:c r="J160" s="52" t="str">
        <x:v>NW 199th Street and NW 27th Avenue approach</x:v>
      </x:c>
      <x:c r="K160" s="53" t="n">
        <x:v>25.957</x:v>
      </x:c>
      <x:c r="L160" s="53" t="n">
        <x:v>-80.2425</x:v>
      </x:c>
      <x:c r="M160" s="56" t="n">
        <x:v>400</x:v>
      </x:c>
      <x:c r="N160" s="56" t="str">
        <x:v>line_extrusion</x:v>
      </x:c>
      <x:c r="O160" s="56" t="n">
        <x:v>1600</x:v>
      </x:c>
      <x:c r="P160" s="56" t="n">
        <x:v>6</x:v>
      </x:c>
      <x:c r="Q160" s="56" t="n">
        <x:v>0.15</x:v>
      </x:c>
      <x:c r="R160" s="56" t="n">
        <x:v>295</x:v>
      </x:c>
      <x:c r="S160" s="56" t="n">
        <x:v>0.1</x:v>
      </x:c>
      <x:c r="T160" s="52" t="str">
        <x:v>#0F766E</x:v>
      </x:c>
      <x:c r="U160" s="55" t="n">
        <x:v>0.85</x:v>
      </x:c>
      <x:c r="V160" s="58" t="n">
        <x:f>'Funding Categories'!M88</x:f>
        <x:v>0</x:v>
      </x:c>
      <x:c r="W160" s="52" t="str">
        <x:f>IF(V160&gt;0,"Yes","No")</x:f>
        <x:v>No</x:v>
      </x:c>
      <x:c r="X160" s="52" t="str">
        <x:v>widened sidewalk; lighting; drainage and separation</x:v>
      </x:c>
      <x:c r="Y160" s="52" t="str">
        <x:v>concept_only</x:v>
      </x:c>
      <x:c r="Z160" s="52" t="str">
        <x:v>planning_anchor ±25–100 m</x:v>
      </x:c>
      <x:c r="AA160" s="52" t="str">
        <x:v>engineering_assumption</x:v>
      </x:c>
      <x:c r="AB160" s="52" t="str">
        <x:v>https://www.hardrockstadium.com/parking/</x:v>
      </x:c>
    </x:row>
    <x:row r="161">
      <x:c r="A161" s="52" t="str">
        <x:v>miami-bike-TMP</x:v>
      </x:c>
      <x:c r="B161" s="52" t="n">
        <x:v>7</x:v>
      </x:c>
      <x:c r="C161" s="52" t="str">
        <x:v>miami</x:v>
      </x:c>
      <x:c r="D161" s="52" t="str">
        <x:v>Miami</x:v>
      </x:c>
      <x:c r="E161" s="52" t="str">
        <x:v>bike</x:v>
      </x:c>
      <x:c r="F161" s="52" t="str">
        <x:v>Protected bicycle access</x:v>
      </x:c>
      <x:c r="G161" s="52" t="str">
        <x:v>temporary</x:v>
      </x:c>
      <x:c r="H161" s="52" t="str">
        <x:v>mia-nw199-nw27</x:v>
      </x:c>
      <x:c r="I161" s="52" t="str">
        <x:v>MIA-NW27</x:v>
      </x:c>
      <x:c r="J161" s="52" t="str">
        <x:v>NW 199th Street and NW 27th Avenue approach</x:v>
      </x:c>
      <x:c r="K161" s="53" t="n">
        <x:v>25.957</x:v>
      </x:c>
      <x:c r="L161" s="53" t="n">
        <x:v>-80.2425</x:v>
      </x:c>
      <x:c r="M161" s="56" t="n">
        <x:v>400</x:v>
      </x:c>
      <x:c r="N161" s="56" t="str">
        <x:v>line_extrusion</x:v>
      </x:c>
      <x:c r="O161" s="56" t="n">
        <x:v>3200</x:v>
      </x:c>
      <x:c r="P161" s="56" t="n">
        <x:v>3</x:v>
      </x:c>
      <x:c r="Q161" s="56" t="n">
        <x:v>0.1</x:v>
      </x:c>
      <x:c r="R161" s="56" t="n">
        <x:v>305</x:v>
      </x:c>
      <x:c r="S161" s="56" t="n">
        <x:v>0.05</x:v>
      </x:c>
      <x:c r="T161" s="52" t="str">
        <x:v>#F59E0B</x:v>
      </x:c>
      <x:c r="U161" s="55" t="n">
        <x:v>0.55</x:v>
      </x:c>
      <x:c r="V161" s="58" t="n">
        <x:f>'Funding Categories'!L89</x:f>
        <x:v>0</x:v>
      </x:c>
      <x:c r="W161" s="52" t="str">
        <x:f>IF(V161&gt;0,"Yes","No")</x:f>
        <x:v>No</x:v>
      </x:c>
      <x:c r="X161" s="52" t="str">
        <x:v>pop-up protected lane and attended bike valet</x:v>
      </x:c>
      <x:c r="Y161" s="52" t="str">
        <x:v>concept_only</x:v>
      </x:c>
      <x:c r="Z161" s="52" t="str">
        <x:v>planning_anchor ±25–100 m</x:v>
      </x:c>
      <x:c r="AA161" s="52" t="str">
        <x:v>engineering_assumption</x:v>
      </x:c>
      <x:c r="AB161" s="52" t="str">
        <x:v>https://www.hardrockstadium.com/parking/</x:v>
      </x:c>
    </x:row>
    <x:row r="162">
      <x:c r="A162" s="52" t="str">
        <x:v>miami-bike-PERM</x:v>
      </x:c>
      <x:c r="B162" s="52" t="n">
        <x:v>7</x:v>
      </x:c>
      <x:c r="C162" s="52" t="str">
        <x:v>miami</x:v>
      </x:c>
      <x:c r="D162" s="52" t="str">
        <x:v>Miami</x:v>
      </x:c>
      <x:c r="E162" s="52" t="str">
        <x:v>bike</x:v>
      </x:c>
      <x:c r="F162" s="52" t="str">
        <x:v>Protected bicycle access</x:v>
      </x:c>
      <x:c r="G162" s="52" t="str">
        <x:v>permanent</x:v>
      </x:c>
      <x:c r="H162" s="52" t="str">
        <x:v>mia-nw199-nw27</x:v>
      </x:c>
      <x:c r="I162" s="52" t="str">
        <x:v>MIA-NW27</x:v>
      </x:c>
      <x:c r="J162" s="52" t="str">
        <x:v>NW 199th Street and NW 27th Avenue approach</x:v>
      </x:c>
      <x:c r="K162" s="53" t="n">
        <x:v>25.957</x:v>
      </x:c>
      <x:c r="L162" s="53" t="n">
        <x:v>-80.2425</x:v>
      </x:c>
      <x:c r="M162" s="56" t="n">
        <x:v>400</x:v>
      </x:c>
      <x:c r="N162" s="56" t="str">
        <x:v>line_extrusion</x:v>
      </x:c>
      <x:c r="O162" s="56" t="n">
        <x:v>3200</x:v>
      </x:c>
      <x:c r="P162" s="56" t="n">
        <x:v>3</x:v>
      </x:c>
      <x:c r="Q162" s="56" t="n">
        <x:v>0.1</x:v>
      </x:c>
      <x:c r="R162" s="56" t="n">
        <x:v>312</x:v>
      </x:c>
      <x:c r="S162" s="56" t="n">
        <x:v>0.1</x:v>
      </x:c>
      <x:c r="T162" s="52" t="str">
        <x:v>#0F766E</x:v>
      </x:c>
      <x:c r="U162" s="55" t="n">
        <x:v>0.85</x:v>
      </x:c>
      <x:c r="V162" s="58" t="n">
        <x:f>'Funding Categories'!M89</x:f>
        <x:v>0</x:v>
      </x:c>
      <x:c r="W162" s="52" t="str">
        <x:f>IF(V162&gt;0,"Yes","No")</x:f>
        <x:v>No</x:v>
      </x:c>
      <x:c r="X162" s="52" t="str">
        <x:v>protected bikeway and secure long-term parking</x:v>
      </x:c>
      <x:c r="Y162" s="52" t="str">
        <x:v>concept_only</x:v>
      </x:c>
      <x:c r="Z162" s="52" t="str">
        <x:v>planning_anchor ±25–100 m</x:v>
      </x:c>
      <x:c r="AA162" s="52" t="str">
        <x:v>engineering_assumption</x:v>
      </x:c>
      <x:c r="AB162" s="52" t="str">
        <x:v>https://www.hardrockstadium.com/parking/</x:v>
      </x:c>
    </x:row>
    <x:row r="163">
      <x:c r="A163" s="52" t="str">
        <x:v>miami-tnc-TMP</x:v>
      </x:c>
      <x:c r="B163" s="52" t="n">
        <x:v>7</x:v>
      </x:c>
      <x:c r="C163" s="52" t="str">
        <x:v>miami</x:v>
      </x:c>
      <x:c r="D163" s="52" t="str">
        <x:v>Miami</x:v>
      </x:c>
      <x:c r="E163" s="52" t="str">
        <x:v>tnc</x:v>
      </x:c>
      <x:c r="F163" s="52" t="str">
        <x:v>Managed rideshare hub</x:v>
      </x:c>
      <x:c r="G163" s="52" t="str">
        <x:v>temporary</x:v>
      </x:c>
      <x:c r="H163" s="52" t="str">
        <x:v>mia-south-gate</x:v>
      </x:c>
      <x:c r="I163" s="52" t="str">
        <x:v>MIA-SG</x:v>
      </x:c>
      <x:c r="J163" s="52" t="str">
        <x:v>Hard Rock Stadium south-gate rideshare and shuttle zone</x:v>
      </x:c>
      <x:c r="K163" s="53" t="n">
        <x:v>25.9549</x:v>
      </x:c>
      <x:c r="L163" s="53" t="n">
        <x:v>-80.2383</x:v>
      </x:c>
      <x:c r="M163" s="56" t="n">
        <x:v>350</x:v>
      </x:c>
      <x:c r="N163" s="56" t="str">
        <x:v>polygon_extrusion</x:v>
      </x:c>
      <x:c r="O163" s="56" t="n">
        <x:v>70</x:v>
      </x:c>
      <x:c r="P163" s="56" t="n">
        <x:v>45</x:v>
      </x:c>
      <x:c r="Q163" s="56" t="n">
        <x:v>0.2</x:v>
      </x:c>
      <x:c r="R163" s="56" t="n">
        <x:v>322</x:v>
      </x:c>
      <x:c r="S163" s="56" t="n">
        <x:v>0.05</x:v>
      </x:c>
      <x:c r="T163" s="52" t="str">
        <x:v>#F59E0B</x:v>
      </x:c>
      <x:c r="U163" s="55" t="n">
        <x:v>0.55</x:v>
      </x:c>
      <x:c r="V163" s="58" t="n">
        <x:f>'Funding Categories'!L90</x:f>
        <x:v>400000</x:v>
      </x:c>
      <x:c r="W163" s="52" t="str">
        <x:f>IF(V163&gt;0,"Yes","No")</x:f>
        <x:v>Yes</x:v>
      </x:c>
      <x:c r="X163" s="52" t="str">
        <x:v>staffed geofenced pickup with temporary lane control</x:v>
      </x:c>
      <x:c r="Y163" s="52" t="str">
        <x:v>concept_only</x:v>
      </x:c>
      <x:c r="Z163" s="52" t="str">
        <x:v>planning_anchor ±25–100 m</x:v>
      </x:c>
      <x:c r="AA163" s="52" t="str">
        <x:v>engineering_assumption</x:v>
      </x:c>
      <x:c r="AB163" s="52" t="str">
        <x:v>https://www.hardrockstadium.com/parking/</x:v>
      </x:c>
    </x:row>
    <x:row r="164">
      <x:c r="A164" s="52" t="str">
        <x:v>miami-tnc-PERM</x:v>
      </x:c>
      <x:c r="B164" s="52" t="n">
        <x:v>7</x:v>
      </x:c>
      <x:c r="C164" s="52" t="str">
        <x:v>miami</x:v>
      </x:c>
      <x:c r="D164" s="52" t="str">
        <x:v>Miami</x:v>
      </x:c>
      <x:c r="E164" s="52" t="str">
        <x:v>tnc</x:v>
      </x:c>
      <x:c r="F164" s="52" t="str">
        <x:v>Managed rideshare hub</x:v>
      </x:c>
      <x:c r="G164" s="52" t="str">
        <x:v>permanent</x:v>
      </x:c>
      <x:c r="H164" s="52" t="str">
        <x:v>mia-south-gate</x:v>
      </x:c>
      <x:c r="I164" s="52" t="str">
        <x:v>MIA-SG</x:v>
      </x:c>
      <x:c r="J164" s="52" t="str">
        <x:v>Hard Rock Stadium south-gate rideshare and shuttle zone</x:v>
      </x:c>
      <x:c r="K164" s="53" t="n">
        <x:v>25.9549</x:v>
      </x:c>
      <x:c r="L164" s="53" t="n">
        <x:v>-80.2383</x:v>
      </x:c>
      <x:c r="M164" s="56" t="n">
        <x:v>350</x:v>
      </x:c>
      <x:c r="N164" s="56" t="str">
        <x:v>polygon_extrusion</x:v>
      </x:c>
      <x:c r="O164" s="56" t="n">
        <x:v>70</x:v>
      </x:c>
      <x:c r="P164" s="56" t="n">
        <x:v>45</x:v>
      </x:c>
      <x:c r="Q164" s="56" t="n">
        <x:v>0.2</x:v>
      </x:c>
      <x:c r="R164" s="56" t="n">
        <x:v>329</x:v>
      </x:c>
      <x:c r="S164" s="56" t="n">
        <x:v>0.1</x:v>
      </x:c>
      <x:c r="T164" s="52" t="str">
        <x:v>#2563EB</x:v>
      </x:c>
      <x:c r="U164" s="55" t="n">
        <x:v>0.85</x:v>
      </x:c>
      <x:c r="V164" s="58" t="n">
        <x:f>'Funding Categories'!M90</x:f>
        <x:v>400000</x:v>
      </x:c>
      <x:c r="W164" s="52" t="str">
        <x:f>IF(V164&gt;0,"Yes","No")</x:f>
        <x:v>Yes</x:v>
      </x:c>
      <x:c r="X164" s="52" t="str">
        <x:v>off-street rideshare hub with accessible bays</x:v>
      </x:c>
      <x:c r="Y164" s="52" t="str">
        <x:v>concept_only</x:v>
      </x:c>
      <x:c r="Z164" s="52" t="str">
        <x:v>planning_anchor ±25–100 m</x:v>
      </x:c>
      <x:c r="AA164" s="52" t="str">
        <x:v>engineering_assumption</x:v>
      </x:c>
      <x:c r="AB164" s="52" t="str">
        <x:v>https://www.hardrockstadium.com/parking/</x:v>
      </x:c>
    </x:row>
    <x:row r="165">
      <x:c r="A165" s="52" t="str">
        <x:v>miami-wayfinding-TMP</x:v>
      </x:c>
      <x:c r="B165" s="52" t="n">
        <x:v>7</x:v>
      </x:c>
      <x:c r="C165" s="52" t="str">
        <x:v>miami</x:v>
      </x:c>
      <x:c r="D165" s="52" t="str">
        <x:v>Miami</x:v>
      </x:c>
      <x:c r="E165" s="52" t="str">
        <x:v>wayfinding</x:v>
      </x:c>
      <x:c r="F165" s="52" t="str">
        <x:v>Multilingual wayfinding</x:v>
      </x:c>
      <x:c r="G165" s="52" t="str">
        <x:v>temporary</x:v>
      </x:c>
      <x:c r="H165" s="52" t="str">
        <x:v>mia-nw199-nw27</x:v>
      </x:c>
      <x:c r="I165" s="52" t="str">
        <x:v>MIA-NW27</x:v>
      </x:c>
      <x:c r="J165" s="52" t="str">
        <x:v>NW 199th Street and NW 27th Avenue approach</x:v>
      </x:c>
      <x:c r="K165" s="53" t="n">
        <x:v>25.957</x:v>
      </x:c>
      <x:c r="L165" s="53" t="n">
        <x:v>-80.2425</x:v>
      </x:c>
      <x:c r="M165" s="56" t="n">
        <x:v>400</x:v>
      </x:c>
      <x:c r="N165" s="56" t="str">
        <x:v>point_model</x:v>
      </x:c>
      <x:c r="O165" s="56" t="n">
        <x:v>1</x:v>
      </x:c>
      <x:c r="P165" s="56" t="n">
        <x:v>1</x:v>
      </x:c>
      <x:c r="Q165" s="56" t="n">
        <x:v>2.5</x:v>
      </x:c>
      <x:c r="R165" s="56" t="n">
        <x:v>339</x:v>
      </x:c>
      <x:c r="S165" s="56" t="n">
        <x:v>0.05</x:v>
      </x:c>
      <x:c r="T165" s="52" t="str">
        <x:v>#F59E0B</x:v>
      </x:c>
      <x:c r="U165" s="55" t="n">
        <x:v>0.55</x:v>
      </x:c>
      <x:c r="V165" s="58" t="n">
        <x:f>'Funding Categories'!L91</x:f>
        <x:v>135000</x:v>
      </x:c>
      <x:c r="W165" s="52" t="str">
        <x:f>IF(V165&gt;0,"Yes","No")</x:f>
        <x:v>Yes</x:v>
      </x:c>
      <x:c r="X165" s="52" t="str">
        <x:v>portable signs; digital messages; multilingual ambassadors</x:v>
      </x:c>
      <x:c r="Y165" s="52" t="str">
        <x:v>concept_only</x:v>
      </x:c>
      <x:c r="Z165" s="52" t="str">
        <x:v>planning_anchor ±25–100 m</x:v>
      </x:c>
      <x:c r="AA165" s="52" t="str">
        <x:v>engineering_assumption</x:v>
      </x:c>
      <x:c r="AB165" s="52" t="str">
        <x:v>https://www.hardrockstadium.com/parking/</x:v>
      </x:c>
    </x:row>
    <x:row r="166">
      <x:c r="A166" s="52" t="str">
        <x:v>miami-wayfinding-PERM</x:v>
      </x:c>
      <x:c r="B166" s="52" t="n">
        <x:v>7</x:v>
      </x:c>
      <x:c r="C166" s="52" t="str">
        <x:v>miami</x:v>
      </x:c>
      <x:c r="D166" s="52" t="str">
        <x:v>Miami</x:v>
      </x:c>
      <x:c r="E166" s="52" t="str">
        <x:v>wayfinding</x:v>
      </x:c>
      <x:c r="F166" s="52" t="str">
        <x:v>Multilingual wayfinding</x:v>
      </x:c>
      <x:c r="G166" s="52" t="str">
        <x:v>permanent</x:v>
      </x:c>
      <x:c r="H166" s="52" t="str">
        <x:v>mia-nw199-nw27</x:v>
      </x:c>
      <x:c r="I166" s="52" t="str">
        <x:v>MIA-NW27</x:v>
      </x:c>
      <x:c r="J166" s="52" t="str">
        <x:v>NW 199th Street and NW 27th Avenue approach</x:v>
      </x:c>
      <x:c r="K166" s="53" t="n">
        <x:v>25.957</x:v>
      </x:c>
      <x:c r="L166" s="53" t="n">
        <x:v>-80.2425</x:v>
      </x:c>
      <x:c r="M166" s="56" t="n">
        <x:v>400</x:v>
      </x:c>
      <x:c r="N166" s="56" t="str">
        <x:v>point_model</x:v>
      </x:c>
      <x:c r="O166" s="56" t="n">
        <x:v>1</x:v>
      </x:c>
      <x:c r="P166" s="56" t="n">
        <x:v>1</x:v>
      </x:c>
      <x:c r="Q166" s="56" t="n">
        <x:v>4</x:v>
      </x:c>
      <x:c r="R166" s="56" t="n">
        <x:v>346</x:v>
      </x:c>
      <x:c r="S166" s="56" t="n">
        <x:v>0.1</x:v>
      </x:c>
      <x:c r="T166" s="52" t="str">
        <x:v>#2563EB</x:v>
      </x:c>
      <x:c r="U166" s="55" t="n">
        <x:v>0.85</x:v>
      </x:c>
      <x:c r="V166" s="58" t="n">
        <x:f>'Funding Categories'!M91</x:f>
        <x:v>165000</x:v>
      </x:c>
      <x:c r="W166" s="52" t="str">
        <x:f>IF(V166&gt;0,"Yes","No")</x:f>
        <x:v>Yes</x:v>
      </x:c>
      <x:c r="X166" s="52" t="str">
        <x:v>fixed multilingual physical and digital wayfinding</x:v>
      </x:c>
      <x:c r="Y166" s="52" t="str">
        <x:v>concept_only</x:v>
      </x:c>
      <x:c r="Z166" s="52" t="str">
        <x:v>planning_anchor ±25–100 m</x:v>
      </x:c>
      <x:c r="AA166" s="52" t="str">
        <x:v>engineering_assumption</x:v>
      </x:c>
      <x:c r="AB166" s="52" t="str">
        <x:v>https://www.hardrockstadium.com/parking/</x:v>
      </x:c>
    </x:row>
    <x:row r="167">
      <x:c r="A167" s="52" t="str">
        <x:v>miami-station-TMP</x:v>
      </x:c>
      <x:c r="B167" s="52" t="n">
        <x:v>7</x:v>
      </x:c>
      <x:c r="C167" s="52" t="str">
        <x:v>miami</x:v>
      </x:c>
      <x:c r="D167" s="52" t="str">
        <x:v>Miami</x:v>
      </x:c>
      <x:c r="E167" s="52" t="str">
        <x:v>station</x:v>
      </x:c>
      <x:c r="F167" s="52" t="str">
        <x:v>Station-capacity package</x:v>
      </x:c>
      <x:c r="G167" s="52" t="str">
        <x:v>temporary</x:v>
      </x:c>
      <x:c r="H167" s="52" t="str">
        <x:v>mia-nw199-nw27</x:v>
      </x:c>
      <x:c r="I167" s="52" t="str">
        <x:v>MIA-NW27</x:v>
      </x:c>
      <x:c r="J167" s="52" t="str">
        <x:v>NW 199th Street and NW 27th Avenue approach</x:v>
      </x:c>
      <x:c r="K167" s="53" t="n">
        <x:v>25.957</x:v>
      </x:c>
      <x:c r="L167" s="53" t="n">
        <x:v>-80.2425</x:v>
      </x:c>
      <x:c r="M167" s="56" t="n">
        <x:v>400</x:v>
      </x:c>
      <x:c r="N167" s="56" t="str">
        <x:v>glb_model</x:v>
      </x:c>
      <x:c r="O167" s="56" t="n">
        <x:v>120</x:v>
      </x:c>
      <x:c r="P167" s="56" t="n">
        <x:v>45</x:v>
      </x:c>
      <x:c r="Q167" s="56" t="n">
        <x:v>6</x:v>
      </x:c>
      <x:c r="R167" s="56" t="n">
        <x:v>356</x:v>
      </x:c>
      <x:c r="S167" s="56" t="n">
        <x:v>0.05</x:v>
      </x:c>
      <x:c r="T167" s="52" t="str">
        <x:v>#F59E0B</x:v>
      </x:c>
      <x:c r="U167" s="55" t="n">
        <x:v>0.55</x:v>
      </x:c>
      <x:c r="V167" s="58" t="n">
        <x:f>'Funding Categories'!L92</x:f>
        <x:v>0</x:v>
      </x:c>
      <x:c r="W167" s="52" t="str">
        <x:f>IF(V167&gt;0,"Yes","No")</x:f>
        <x:v>No</x:v>
      </x:c>
      <x:c r="X167" s="52" t="str">
        <x:v>temporary gates; queue barriers; portable fare equipment</x:v>
      </x:c>
      <x:c r="Y167" s="52" t="str">
        <x:v>concept_only</x:v>
      </x:c>
      <x:c r="Z167" s="52" t="str">
        <x:v>planning_anchor ±25–100 m</x:v>
      </x:c>
      <x:c r="AA167" s="52" t="str">
        <x:v>engineering_assumption</x:v>
      </x:c>
      <x:c r="AB167" s="52" t="str">
        <x:v>https://www.hardrockstadium.com/parking/</x:v>
      </x:c>
    </x:row>
    <x:row r="168">
      <x:c r="A168" s="52" t="str">
        <x:v>miami-station-PERM</x:v>
      </x:c>
      <x:c r="B168" s="52" t="n">
        <x:v>7</x:v>
      </x:c>
      <x:c r="C168" s="52" t="str">
        <x:v>miami</x:v>
      </x:c>
      <x:c r="D168" s="52" t="str">
        <x:v>Miami</x:v>
      </x:c>
      <x:c r="E168" s="52" t="str">
        <x:v>station</x:v>
      </x:c>
      <x:c r="F168" s="52" t="str">
        <x:v>Station-capacity package</x:v>
      </x:c>
      <x:c r="G168" s="52" t="str">
        <x:v>permanent</x:v>
      </x:c>
      <x:c r="H168" s="52" t="str">
        <x:v>mia-nw199-nw27</x:v>
      </x:c>
      <x:c r="I168" s="52" t="str">
        <x:v>MIA-NW27</x:v>
      </x:c>
      <x:c r="J168" s="52" t="str">
        <x:v>NW 199th Street and NW 27th Avenue approach</x:v>
      </x:c>
      <x:c r="K168" s="53" t="n">
        <x:v>25.957</x:v>
      </x:c>
      <x:c r="L168" s="53" t="n">
        <x:v>-80.2425</x:v>
      </x:c>
      <x:c r="M168" s="56" t="n">
        <x:v>400</x:v>
      </x:c>
      <x:c r="N168" s="56" t="str">
        <x:v>glb_model</x:v>
      </x:c>
      <x:c r="O168" s="56" t="n">
        <x:v>120</x:v>
      </x:c>
      <x:c r="P168" s="56" t="n">
        <x:v>45</x:v>
      </x:c>
      <x:c r="Q168" s="56" t="n">
        <x:v>18</x:v>
      </x:c>
      <x:c r="R168" s="56" t="n">
        <x:v>3</x:v>
      </x:c>
      <x:c r="S168" s="56" t="n">
        <x:v>0.1</x:v>
      </x:c>
      <x:c r="T168" s="52" t="str">
        <x:v>#2563EB</x:v>
      </x:c>
      <x:c r="U168" s="55" t="n">
        <x:v>0.85</x:v>
      </x:c>
      <x:c r="V168" s="58" t="n">
        <x:f>'Funding Categories'!M92</x:f>
        <x:v>0</x:v>
      </x:c>
      <x:c r="W168" s="52" t="str">
        <x:f>IF(V168&gt;0,"Yes","No")</x:f>
        <x:v>No</x:v>
      </x:c>
      <x:c r="X168" s="52" t="str">
        <x:v>platform, entry and circulation expansion</x:v>
      </x:c>
      <x:c r="Y168" s="52" t="str">
        <x:v>concept_only</x:v>
      </x:c>
      <x:c r="Z168" s="52" t="str">
        <x:v>planning_anchor ±25–100 m</x:v>
      </x:c>
      <x:c r="AA168" s="52" t="str">
        <x:v>engineering_assumption</x:v>
      </x:c>
      <x:c r="AB168" s="52" t="str">
        <x:v>https://www.hardrockstadium.com/parking/</x:v>
      </x:c>
    </x:row>
    <x:row r="169">
      <x:c r="A169" s="52" t="str">
        <x:v>miami-toc-TMP</x:v>
      </x:c>
      <x:c r="B169" s="52" t="n">
        <x:v>7</x:v>
      </x:c>
      <x:c r="C169" s="52" t="str">
        <x:v>miami</x:v>
      </x:c>
      <x:c r="D169" s="52" t="str">
        <x:v>Miami</x:v>
      </x:c>
      <x:c r="E169" s="52" t="str">
        <x:v>toc</x:v>
      </x:c>
      <x:c r="F169" s="52" t="str">
        <x:v>Integrated traffic operations</x:v>
      </x:c>
      <x:c r="G169" s="52" t="str">
        <x:v>temporary</x:v>
      </x:c>
      <x:c r="H169" s="52" t="str">
        <x:v>mia-south-gate</x:v>
      </x:c>
      <x:c r="I169" s="52" t="str">
        <x:v>MIA-SG</x:v>
      </x:c>
      <x:c r="J169" s="52" t="str">
        <x:v>Hard Rock Stadium south-gate rideshare and shuttle zone</x:v>
      </x:c>
      <x:c r="K169" s="53" t="n">
        <x:v>25.9549</x:v>
      </x:c>
      <x:c r="L169" s="53" t="n">
        <x:v>-80.2383</x:v>
      </x:c>
      <x:c r="M169" s="56" t="n">
        <x:v>350</x:v>
      </x:c>
      <x:c r="N169" s="56" t="str">
        <x:v>glb_model</x:v>
      </x:c>
      <x:c r="O169" s="56" t="n">
        <x:v>60</x:v>
      </x:c>
      <x:c r="P169" s="56" t="n">
        <x:v>40</x:v>
      </x:c>
      <x:c r="Q169" s="56" t="n">
        <x:v>4</x:v>
      </x:c>
      <x:c r="R169" s="56" t="n">
        <x:v>13</x:v>
      </x:c>
      <x:c r="S169" s="56" t="n">
        <x:v>0.05</x:v>
      </x:c>
      <x:c r="T169" s="52" t="str">
        <x:v>#F59E0B</x:v>
      </x:c>
      <x:c r="U169" s="55" t="n">
        <x:v>0.55</x:v>
      </x:c>
      <x:c r="V169" s="58" t="n">
        <x:f>'Funding Categories'!L93</x:f>
        <x:v>375000</x:v>
      </x:c>
      <x:c r="W169" s="52" t="str">
        <x:f>IF(V169&gt;0,"Yes","No")</x:f>
        <x:v>Yes</x:v>
      </x:c>
      <x:c r="X169" s="52" t="str">
        <x:v>unified incident command and temporary sensor feeds</x:v>
      </x:c>
      <x:c r="Y169" s="52" t="str">
        <x:v>concept_only</x:v>
      </x:c>
      <x:c r="Z169" s="52" t="str">
        <x:v>planning_anchor ±25–100 m</x:v>
      </x:c>
      <x:c r="AA169" s="52" t="str">
        <x:v>engineering_assumption</x:v>
      </x:c>
      <x:c r="AB169" s="52" t="str">
        <x:v>https://www.hardrockstadium.com/parking/</x:v>
      </x:c>
    </x:row>
    <x:row r="170">
      <x:c r="A170" s="52" t="str">
        <x:v>miami-toc-PERM</x:v>
      </x:c>
      <x:c r="B170" s="52" t="n">
        <x:v>7</x:v>
      </x:c>
      <x:c r="C170" s="52" t="str">
        <x:v>miami</x:v>
      </x:c>
      <x:c r="D170" s="52" t="str">
        <x:v>Miami</x:v>
      </x:c>
      <x:c r="E170" s="52" t="str">
        <x:v>toc</x:v>
      </x:c>
      <x:c r="F170" s="52" t="str">
        <x:v>Integrated traffic operations</x:v>
      </x:c>
      <x:c r="G170" s="52" t="str">
        <x:v>permanent</x:v>
      </x:c>
      <x:c r="H170" s="52" t="str">
        <x:v>mia-south-gate</x:v>
      </x:c>
      <x:c r="I170" s="52" t="str">
        <x:v>MIA-SG</x:v>
      </x:c>
      <x:c r="J170" s="52" t="str">
        <x:v>Hard Rock Stadium south-gate rideshare and shuttle zone</x:v>
      </x:c>
      <x:c r="K170" s="53" t="n">
        <x:v>25.9549</x:v>
      </x:c>
      <x:c r="L170" s="53" t="n">
        <x:v>-80.2383</x:v>
      </x:c>
      <x:c r="M170" s="56" t="n">
        <x:v>350</x:v>
      </x:c>
      <x:c r="N170" s="56" t="str">
        <x:v>glb_model</x:v>
      </x:c>
      <x:c r="O170" s="56" t="n">
        <x:v>60</x:v>
      </x:c>
      <x:c r="P170" s="56" t="n">
        <x:v>40</x:v>
      </x:c>
      <x:c r="Q170" s="56" t="n">
        <x:v>12</x:v>
      </x:c>
      <x:c r="R170" s="56" t="n">
        <x:v>20</x:v>
      </x:c>
      <x:c r="S170" s="56" t="n">
        <x:v>0.1</x:v>
      </x:c>
      <x:c r="T170" s="52" t="str">
        <x:v>#2563EB</x:v>
      </x:c>
      <x:c r="U170" s="55" t="n">
        <x:v>0.85</x:v>
      </x:c>
      <x:c r="V170" s="58" t="n">
        <x:f>'Funding Categories'!M93</x:f>
        <x:v>1125000</x:v>
      </x:c>
      <x:c r="W170" s="52" t="str">
        <x:f>IF(V170&gt;0,"Yes","No")</x:f>
        <x:v>Yes</x:v>
      </x:c>
      <x:c r="X170" s="52" t="str">
        <x:v>integrated operations center and adaptive dispatch</x:v>
      </x:c>
      <x:c r="Y170" s="52" t="str">
        <x:v>concept_only</x:v>
      </x:c>
      <x:c r="Z170" s="52" t="str">
        <x:v>planning_anchor ±25–100 m</x:v>
      </x:c>
      <x:c r="AA170" s="52" t="str">
        <x:v>engineering_assumption</x:v>
      </x:c>
      <x:c r="AB170" s="52" t="str">
        <x:v>https://www.hardrockstadium.com/parking/</x:v>
      </x:c>
    </x:row>
    <x:row r="171">
      <x:c r="A171" s="52" t="str">
        <x:v>miami-access-TMP</x:v>
      </x:c>
      <x:c r="B171" s="52" t="n">
        <x:v>7</x:v>
      </x:c>
      <x:c r="C171" s="52" t="str">
        <x:v>miami</x:v>
      </x:c>
      <x:c r="D171" s="52" t="str">
        <x:v>Miami</x:v>
      </x:c>
      <x:c r="E171" s="52" t="str">
        <x:v>access</x:v>
      </x:c>
      <x:c r="F171" s="52" t="str">
        <x:v>ADA/microtransit access</x:v>
      </x:c>
      <x:c r="G171" s="52" t="str">
        <x:v>temporary</x:v>
      </x:c>
      <x:c r="H171" s="52" t="str">
        <x:v>mia-nw199-nw27</x:v>
      </x:c>
      <x:c r="I171" s="52" t="str">
        <x:v>MIA-NW27</x:v>
      </x:c>
      <x:c r="J171" s="52" t="str">
        <x:v>NW 199th Street and NW 27th Avenue approach</x:v>
      </x:c>
      <x:c r="K171" s="53" t="n">
        <x:v>25.957</x:v>
      </x:c>
      <x:c r="L171" s="53" t="n">
        <x:v>-80.2425</x:v>
      </x:c>
      <x:c r="M171" s="56" t="n">
        <x:v>400</x:v>
      </x:c>
      <x:c r="N171" s="56" t="str">
        <x:v>line_extrusion</x:v>
      </x:c>
      <x:c r="O171" s="56" t="n">
        <x:v>800</x:v>
      </x:c>
      <x:c r="P171" s="56" t="n">
        <x:v>3</x:v>
      </x:c>
      <x:c r="Q171" s="56" t="n">
        <x:v>0.1</x:v>
      </x:c>
      <x:c r="R171" s="56" t="n">
        <x:v>30</x:v>
      </x:c>
      <x:c r="S171" s="56" t="n">
        <x:v>0.05</x:v>
      </x:c>
      <x:c r="T171" s="52" t="str">
        <x:v>#F59E0B</x:v>
      </x:c>
      <x:c r="U171" s="55" t="n">
        <x:v>0.55</x:v>
      </x:c>
      <x:c r="V171" s="58" t="n">
        <x:f>'Funding Categories'!L94</x:f>
        <x:v>0</x:v>
      </x:c>
      <x:c r="W171" s="52" t="str">
        <x:f>IF(V171&gt;0,"Yes","No")</x:f>
        <x:v>No</x:v>
      </x:c>
      <x:c r="X171" s="52" t="str">
        <x:v>accessible shuttles; temporary ramps and staffed assistance</x:v>
      </x:c>
      <x:c r="Y171" s="52" t="str">
        <x:v>concept_only</x:v>
      </x:c>
      <x:c r="Z171" s="52" t="str">
        <x:v>planning_anchor ±25–100 m</x:v>
      </x:c>
      <x:c r="AA171" s="52" t="str">
        <x:v>engineering_assumption</x:v>
      </x:c>
      <x:c r="AB171" s="52" t="str">
        <x:v>https://www.hardrockstadium.com/parking/</x:v>
      </x:c>
    </x:row>
    <x:row r="172">
      <x:c r="A172" s="52" t="str">
        <x:v>miami-access-PERM</x:v>
      </x:c>
      <x:c r="B172" s="52" t="n">
        <x:v>7</x:v>
      </x:c>
      <x:c r="C172" s="52" t="str">
        <x:v>miami</x:v>
      </x:c>
      <x:c r="D172" s="52" t="str">
        <x:v>Miami</x:v>
      </x:c>
      <x:c r="E172" s="52" t="str">
        <x:v>access</x:v>
      </x:c>
      <x:c r="F172" s="52" t="str">
        <x:v>ADA/microtransit access</x:v>
      </x:c>
      <x:c r="G172" s="52" t="str">
        <x:v>permanent</x:v>
      </x:c>
      <x:c r="H172" s="52" t="str">
        <x:v>mia-nw199-nw27</x:v>
      </x:c>
      <x:c r="I172" s="52" t="str">
        <x:v>MIA-NW27</x:v>
      </x:c>
      <x:c r="J172" s="52" t="str">
        <x:v>NW 199th Street and NW 27th Avenue approach</x:v>
      </x:c>
      <x:c r="K172" s="53" t="n">
        <x:v>25.957</x:v>
      </x:c>
      <x:c r="L172" s="53" t="n">
        <x:v>-80.2425</x:v>
      </x:c>
      <x:c r="M172" s="56" t="n">
        <x:v>400</x:v>
      </x:c>
      <x:c r="N172" s="56" t="str">
        <x:v>line_extrusion</x:v>
      </x:c>
      <x:c r="O172" s="56" t="n">
        <x:v>800</x:v>
      </x:c>
      <x:c r="P172" s="56" t="n">
        <x:v>3</x:v>
      </x:c>
      <x:c r="Q172" s="56" t="n">
        <x:v>0.1</x:v>
      </x:c>
      <x:c r="R172" s="56" t="n">
        <x:v>37</x:v>
      </x:c>
      <x:c r="S172" s="56" t="n">
        <x:v>0.1</x:v>
      </x:c>
      <x:c r="T172" s="52" t="str">
        <x:v>#2563EB</x:v>
      </x:c>
      <x:c r="U172" s="55" t="n">
        <x:v>0.85</x:v>
      </x:c>
      <x:c r="V172" s="58" t="n">
        <x:f>'Funding Categories'!M94</x:f>
        <x:v>0</x:v>
      </x:c>
      <x:c r="W172" s="52" t="str">
        <x:f>IF(V172&gt;0,"Yes","No")</x:f>
        <x:v>No</x:v>
      </x:c>
      <x:c r="X172" s="52" t="str">
        <x:v>ADA ramps; tactile guidance; accessible first/last-mile network</x:v>
      </x:c>
      <x:c r="Y172" s="52" t="str">
        <x:v>concept_only</x:v>
      </x:c>
      <x:c r="Z172" s="52" t="str">
        <x:v>planning_anchor ±25–100 m</x:v>
      </x:c>
      <x:c r="AA172" s="52" t="str">
        <x:v>engineering_assumption</x:v>
      </x:c>
      <x:c r="AB172" s="52" t="str">
        <x:v>https://www.hardrockstadium.com/parking/</x:v>
      </x:c>
    </x:row>
    <x:row r="173">
      <x:c r="A173" s="52" t="str">
        <x:v>nynj-service-TMP</x:v>
      </x:c>
      <x:c r="B173" s="52" t="n">
        <x:v>8</x:v>
      </x:c>
      <x:c r="C173" s="52" t="str">
        <x:v>nynj</x:v>
      </x:c>
      <x:c r="D173" s="52" t="str">
        <x:v>New York/New Jersey</x:v>
      </x:c>
      <x:c r="E173" s="52" t="str">
        <x:v>service</x:v>
      </x:c>
      <x:c r="F173" s="52" t="str">
        <x:v>Extra transit service</x:v>
      </x:c>
      <x:c r="G173" s="52" t="str">
        <x:v>temporary</x:v>
      </x:c>
      <x:c r="H173" s="52" t="str">
        <x:v>nynj-meadowlands-station</x:v>
      </x:c>
      <x:c r="I173" s="52" t="str">
        <x:v>NYNJ-MRS</x:v>
      </x:c>
      <x:c r="J173" s="52" t="str">
        <x:v>Meadowlands Rail Station and aerial walkway</x:v>
      </x:c>
      <x:c r="K173" s="53" t="n">
        <x:v>40.807664</x:v>
      </x:c>
      <x:c r="L173" s="53" t="n">
        <x:v>-74.069833</x:v>
      </x:c>
      <x:c r="M173" s="56" t="n">
        <x:v>250</x:v>
      </x:c>
      <x:c r="N173" s="56" t="str">
        <x:v>animated_route</x:v>
      </x:c>
      <x:c r="O173" s="56" t="n">
        <x:v>1500</x:v>
      </x:c>
      <x:c r="P173" s="56" t="n">
        <x:v>2</x:v>
      </x:c>
      <x:c r="Q173" s="56" t="n">
        <x:v>0.5</x:v>
      </x:c>
      <x:c r="R173" s="56" t="n">
        <x:v>232</x:v>
      </x:c>
      <x:c r="S173" s="56" t="n">
        <x:v>0.05</x:v>
      </x:c>
      <x:c r="T173" s="52" t="str">
        <x:v>#F59E0B</x:v>
      </x:c>
      <x:c r="U173" s="55" t="n">
        <x:v>0.55</x:v>
      </x:c>
      <x:c r="V173" s="58" t="n">
        <x:f>'Funding Categories'!L96</x:f>
        <x:v>1320000</x:v>
      </x:c>
      <x:c r="W173" s="52" t="str">
        <x:f>IF(V173&gt;0,"Yes","No")</x:f>
        <x:v>Yes</x:v>
      </x:c>
      <x:c r="X173" s="52" t="str">
        <x:v>extra rail/bus vehicle-hours; standby operators; event timetable</x:v>
      </x:c>
      <x:c r="Y173" s="52" t="str">
        <x:v>concept_only</x:v>
      </x:c>
      <x:c r="Z173" s="52" t="str">
        <x:v>planning_anchor ±25–100 m</x:v>
      </x:c>
      <x:c r="AA173" s="52" t="str">
        <x:v>engineering_assumption</x:v>
      </x:c>
      <x:c r="AB173" s="52" t="str">
        <x:v>https://www.njtransit.com/meadowlands</x:v>
      </x:c>
    </x:row>
    <x:row r="174">
      <x:c r="A174" s="52" t="str">
        <x:v>nynj-service-PERM</x:v>
      </x:c>
      <x:c r="B174" s="52" t="n">
        <x:v>8</x:v>
      </x:c>
      <x:c r="C174" s="52" t="str">
        <x:v>nynj</x:v>
      </x:c>
      <x:c r="D174" s="52" t="str">
        <x:v>New York/New Jersey</x:v>
      </x:c>
      <x:c r="E174" s="52" t="str">
        <x:v>service</x:v>
      </x:c>
      <x:c r="F174" s="52" t="str">
        <x:v>Extra transit service</x:v>
      </x:c>
      <x:c r="G174" s="52" t="str">
        <x:v>permanent</x:v>
      </x:c>
      <x:c r="H174" s="52" t="str">
        <x:v>nynj-meadowlands-station</x:v>
      </x:c>
      <x:c r="I174" s="52" t="str">
        <x:v>NYNJ-MRS</x:v>
      </x:c>
      <x:c r="J174" s="52" t="str">
        <x:v>Meadowlands Rail Station and aerial walkway</x:v>
      </x:c>
      <x:c r="K174" s="53" t="n">
        <x:v>40.807664</x:v>
      </x:c>
      <x:c r="L174" s="53" t="n">
        <x:v>-74.069833</x:v>
      </x:c>
      <x:c r="M174" s="56" t="n">
        <x:v>250</x:v>
      </x:c>
      <x:c r="N174" s="56" t="str">
        <x:v>animated_route</x:v>
      </x:c>
      <x:c r="O174" s="56" t="n">
        <x:v>1500</x:v>
      </x:c>
      <x:c r="P174" s="56" t="n">
        <x:v>2</x:v>
      </x:c>
      <x:c r="Q174" s="56" t="n">
        <x:v>1</x:v>
      </x:c>
      <x:c r="R174" s="56" t="n">
        <x:v>239</x:v>
      </x:c>
      <x:c r="S174" s="56" t="n">
        <x:v>0.1</x:v>
      </x:c>
      <x:c r="T174" s="52" t="str">
        <x:v>#2563EB</x:v>
      </x:c>
      <x:c r="U174" s="55" t="n">
        <x:v>0.85</x:v>
      </x:c>
      <x:c r="V174" s="58" t="n">
        <x:f>'Funding Categories'!M96</x:f>
        <x:v>330000</x:v>
      </x:c>
      <x:c r="W174" s="52" t="str">
        <x:f>IF(V174&gt;0,"Yes","No")</x:f>
        <x:v>Yes</x:v>
      </x:c>
      <x:c r="X174" s="52" t="str">
        <x:v>recurring major-event service plan; fleet and stabling readiness</x:v>
      </x:c>
      <x:c r="Y174" s="52" t="str">
        <x:v>concept_only</x:v>
      </x:c>
      <x:c r="Z174" s="52" t="str">
        <x:v>planning_anchor ±25–100 m</x:v>
      </x:c>
      <x:c r="AA174" s="52" t="str">
        <x:v>engineering_assumption</x:v>
      </x:c>
      <x:c r="AB174" s="52" t="str">
        <x:v>https://www.njtransit.com/meadowlands</x:v>
      </x:c>
    </x:row>
    <x:row r="175">
      <x:c r="A175" s="52" t="str">
        <x:v>nynj-buslane-TMP</x:v>
      </x:c>
      <x:c r="B175" s="52" t="n">
        <x:v>8</x:v>
      </x:c>
      <x:c r="C175" s="52" t="str">
        <x:v>nynj</x:v>
      </x:c>
      <x:c r="D175" s="52" t="str">
        <x:v>New York/New Jersey</x:v>
      </x:c>
      <x:c r="E175" s="52" t="str">
        <x:v>buslane</x:v>
      </x:c>
      <x:c r="F175" s="52" t="str">
        <x:v>Transit-priority lanes</x:v>
      </x:c>
      <x:c r="G175" s="52" t="str">
        <x:v>temporary</x:v>
      </x:c>
      <x:c r="H175" s="52" t="str">
        <x:v>nynj-american-dream-corridor</x:v>
      </x:c>
      <x:c r="I175" s="52" t="str">
        <x:v>NYNJ-ADM</x:v>
      </x:c>
      <x:c r="J175" s="52" t="str">
        <x:v>American Dream–MetLife protected corridor</x:v>
      </x:c>
      <x:c r="K175" s="53" t="n">
        <x:v>40.81145</x:v>
      </x:c>
      <x:c r="L175" s="53" t="n">
        <x:v>-74.07075</x:v>
      </x:c>
      <x:c r="M175" s="56" t="n">
        <x:v>350</x:v>
      </x:c>
      <x:c r="N175" s="56" t="str">
        <x:v>line_extrusion</x:v>
      </x:c>
      <x:c r="O175" s="56" t="n">
        <x:v>3200</x:v>
      </x:c>
      <x:c r="P175" s="56" t="n">
        <x:v>3.5</x:v>
      </x:c>
      <x:c r="Q175" s="56" t="n">
        <x:v>0.1</x:v>
      </x:c>
      <x:c r="R175" s="56" t="n">
        <x:v>249</x:v>
      </x:c>
      <x:c r="S175" s="56" t="n">
        <x:v>0.05</x:v>
      </x:c>
      <x:c r="T175" s="52" t="str">
        <x:v>#F59E0B</x:v>
      </x:c>
      <x:c r="U175" s="55" t="n">
        <x:v>0.55</x:v>
      </x:c>
      <x:c r="V175" s="58" t="n">
        <x:f>'Funding Categories'!L97</x:f>
        <x:v>324000</x:v>
      </x:c>
      <x:c r="W175" s="52" t="str">
        <x:f>IF(V175&gt;0,"Yes","No")</x:f>
        <x:v>Yes</x:v>
      </x:c>
      <x:c r="X175" s="52" t="str">
        <x:v>cone- and paint-defined bus lane with enforcement</x:v>
      </x:c>
      <x:c r="Y175" s="52" t="str">
        <x:v>concept_only</x:v>
      </x:c>
      <x:c r="Z175" s="52" t="str">
        <x:v>planning_anchor ±25–100 m</x:v>
      </x:c>
      <x:c r="AA175" s="52" t="str">
        <x:v>engineering_assumption</x:v>
      </x:c>
      <x:c r="AB175" s="52" t="str">
        <x:v>https://www.njtransit.com/press-releases/new-jersey-interagency-transportation-after-action-report-aar-njny-stadium-fifa</x:v>
      </x:c>
    </x:row>
    <x:row r="176">
      <x:c r="A176" s="52" t="str">
        <x:v>nynj-buslane-PERM</x:v>
      </x:c>
      <x:c r="B176" s="52" t="n">
        <x:v>8</x:v>
      </x:c>
      <x:c r="C176" s="52" t="str">
        <x:v>nynj</x:v>
      </x:c>
      <x:c r="D176" s="52" t="str">
        <x:v>New York/New Jersey</x:v>
      </x:c>
      <x:c r="E176" s="52" t="str">
        <x:v>buslane</x:v>
      </x:c>
      <x:c r="F176" s="52" t="str">
        <x:v>Transit-priority lanes</x:v>
      </x:c>
      <x:c r="G176" s="52" t="str">
        <x:v>permanent</x:v>
      </x:c>
      <x:c r="H176" s="52" t="str">
        <x:v>nynj-american-dream-corridor</x:v>
      </x:c>
      <x:c r="I176" s="52" t="str">
        <x:v>NYNJ-ADM</x:v>
      </x:c>
      <x:c r="J176" s="52" t="str">
        <x:v>American Dream–MetLife protected corridor</x:v>
      </x:c>
      <x:c r="K176" s="53" t="n">
        <x:v>40.81145</x:v>
      </x:c>
      <x:c r="L176" s="53" t="n">
        <x:v>-74.07075</x:v>
      </x:c>
      <x:c r="M176" s="56" t="n">
        <x:v>350</x:v>
      </x:c>
      <x:c r="N176" s="56" t="str">
        <x:v>line_extrusion</x:v>
      </x:c>
      <x:c r="O176" s="56" t="n">
        <x:v>3200</x:v>
      </x:c>
      <x:c r="P176" s="56" t="n">
        <x:v>3.5</x:v>
      </x:c>
      <x:c r="Q176" s="56" t="n">
        <x:v>0.1</x:v>
      </x:c>
      <x:c r="R176" s="56" t="n">
        <x:v>256</x:v>
      </x:c>
      <x:c r="S176" s="56" t="n">
        <x:v>0.1</x:v>
      </x:c>
      <x:c r="T176" s="52" t="str">
        <x:v>#2563EB</x:v>
      </x:c>
      <x:c r="U176" s="55" t="n">
        <x:v>0.85</x:v>
      </x:c>
      <x:c r="V176" s="58" t="n">
        <x:f>'Funding Categories'!M97</x:f>
        <x:v>396000</x:v>
      </x:c>
      <x:c r="W176" s="52" t="str">
        <x:f>IF(V176&gt;0,"Yes","No")</x:f>
        <x:v>Yes</x:v>
      </x:c>
      <x:c r="X176" s="52" t="str">
        <x:v>dedicated or peak-period transit-priority lane</x:v>
      </x:c>
      <x:c r="Y176" s="52" t="str">
        <x:v>concept_only</x:v>
      </x:c>
      <x:c r="Z176" s="52" t="str">
        <x:v>planning_anchor ±25–100 m</x:v>
      </x:c>
      <x:c r="AA176" s="52" t="str">
        <x:v>engineering_assumption</x:v>
      </x:c>
      <x:c r="AB176" s="52" t="str">
        <x:v>https://www.njtransit.com/press-releases/new-jersey-interagency-transportation-after-action-report-aar-njny-stadium-fifa</x:v>
      </x:c>
    </x:row>
    <x:row r="177">
      <x:c r="A177" s="52" t="str">
        <x:v>nynj-signals-TMP</x:v>
      </x:c>
      <x:c r="B177" s="52" t="n">
        <x:v>8</x:v>
      </x:c>
      <x:c r="C177" s="52" t="str">
        <x:v>nynj</x:v>
      </x:c>
      <x:c r="D177" s="52" t="str">
        <x:v>New York/New Jersey</x:v>
      </x:c>
      <x:c r="E177" s="52" t="str">
        <x:v>signals</x:v>
      </x:c>
      <x:c r="F177" s="52" t="str">
        <x:v>Signal timing plans</x:v>
      </x:c>
      <x:c r="G177" s="52" t="str">
        <x:v>temporary</x:v>
      </x:c>
      <x:c r="H177" s="52" t="str">
        <x:v>nynj-american-dream-corridor</x:v>
      </x:c>
      <x:c r="I177" s="52" t="str">
        <x:v>NYNJ-ADM</x:v>
      </x:c>
      <x:c r="J177" s="52" t="str">
        <x:v>American Dream–MetLife protected corridor</x:v>
      </x:c>
      <x:c r="K177" s="53" t="n">
        <x:v>40.81145</x:v>
      </x:c>
      <x:c r="L177" s="53" t="n">
        <x:v>-74.07075</x:v>
      </x:c>
      <x:c r="M177" s="56" t="n">
        <x:v>350</x:v>
      </x:c>
      <x:c r="N177" s="56" t="str">
        <x:v>point_model</x:v>
      </x:c>
      <x:c r="O177" s="56" t="n">
        <x:v>1</x:v>
      </x:c>
      <x:c r="P177" s="56" t="n">
        <x:v>1</x:v>
      </x:c>
      <x:c r="Q177" s="56" t="n">
        <x:v>3</x:v>
      </x:c>
      <x:c r="R177" s="56" t="n">
        <x:v>266</x:v>
      </x:c>
      <x:c r="S177" s="56" t="n">
        <x:v>0.05</x:v>
      </x:c>
      <x:c r="T177" s="52" t="str">
        <x:v>#F59E0B</x:v>
      </x:c>
      <x:c r="U177" s="55" t="n">
        <x:v>0.55</x:v>
      </x:c>
      <x:c r="V177" s="58" t="n">
        <x:f>'Funding Categories'!L98</x:f>
        <x:v>90000</x:v>
      </x:c>
      <x:c r="W177" s="52" t="str">
        <x:f>IF(V177&gt;0,"Yes","No")</x:f>
        <x:v>Yes</x:v>
      </x:c>
      <x:c r="X177" s="52" t="str">
        <x:v>police/manual traffic control and temporary timing plan</x:v>
      </x:c>
      <x:c r="Y177" s="52" t="str">
        <x:v>concept_only</x:v>
      </x:c>
      <x:c r="Z177" s="52" t="str">
        <x:v>planning_anchor ±25–100 m</x:v>
      </x:c>
      <x:c r="AA177" s="52" t="str">
        <x:v>engineering_assumption</x:v>
      </x:c>
      <x:c r="AB177" s="52" t="str">
        <x:v>https://www.njtransit.com/press-releases/new-jersey-interagency-transportation-after-action-report-aar-njny-stadium-fifa</x:v>
      </x:c>
    </x:row>
    <x:row r="178">
      <x:c r="A178" s="52" t="str">
        <x:v>nynj-signals-PERM</x:v>
      </x:c>
      <x:c r="B178" s="52" t="n">
        <x:v>8</x:v>
      </x:c>
      <x:c r="C178" s="52" t="str">
        <x:v>nynj</x:v>
      </x:c>
      <x:c r="D178" s="52" t="str">
        <x:v>New York/New Jersey</x:v>
      </x:c>
      <x:c r="E178" s="52" t="str">
        <x:v>signals</x:v>
      </x:c>
      <x:c r="F178" s="52" t="str">
        <x:v>Signal timing plans</x:v>
      </x:c>
      <x:c r="G178" s="52" t="str">
        <x:v>permanent</x:v>
      </x:c>
      <x:c r="H178" s="52" t="str">
        <x:v>nynj-american-dream-corridor</x:v>
      </x:c>
      <x:c r="I178" s="52" t="str">
        <x:v>NYNJ-ADM</x:v>
      </x:c>
      <x:c r="J178" s="52" t="str">
        <x:v>American Dream–MetLife protected corridor</x:v>
      </x:c>
      <x:c r="K178" s="53" t="n">
        <x:v>40.81145</x:v>
      </x:c>
      <x:c r="L178" s="53" t="n">
        <x:v>-74.07075</x:v>
      </x:c>
      <x:c r="M178" s="56" t="n">
        <x:v>350</x:v>
      </x:c>
      <x:c r="N178" s="56" t="str">
        <x:v>point_model</x:v>
      </x:c>
      <x:c r="O178" s="56" t="n">
        <x:v>1</x:v>
      </x:c>
      <x:c r="P178" s="56" t="n">
        <x:v>1</x:v>
      </x:c>
      <x:c r="Q178" s="56" t="n">
        <x:v>6</x:v>
      </x:c>
      <x:c r="R178" s="56" t="n">
        <x:v>273</x:v>
      </x:c>
      <x:c r="S178" s="56" t="n">
        <x:v>0.1</x:v>
      </x:c>
      <x:c r="T178" s="52" t="str">
        <x:v>#2563EB</x:v>
      </x:c>
      <x:c r="U178" s="55" t="n">
        <x:v>0.85</x:v>
      </x:c>
      <x:c r="V178" s="58" t="n">
        <x:f>'Funding Categories'!M98</x:f>
        <x:v>270000</x:v>
      </x:c>
      <x:c r="W178" s="52" t="str">
        <x:f>IF(V178&gt;0,"Yes","No")</x:f>
        <x:v>Yes</x:v>
      </x:c>
      <x:c r="X178" s="52" t="str">
        <x:v>adaptive controllers and transit signal priority</x:v>
      </x:c>
      <x:c r="Y178" s="52" t="str">
        <x:v>concept_only</x:v>
      </x:c>
      <x:c r="Z178" s="52" t="str">
        <x:v>planning_anchor ±25–100 m</x:v>
      </x:c>
      <x:c r="AA178" s="52" t="str">
        <x:v>engineering_assumption</x:v>
      </x:c>
      <x:c r="AB178" s="52" t="str">
        <x:v>https://www.njtransit.com/press-releases/new-jersey-interagency-transportation-after-action-report-aar-njny-stadium-fifa</x:v>
      </x:c>
    </x:row>
    <x:row r="179">
      <x:c r="A179" s="52" t="str">
        <x:v>nynj-hub-TMP</x:v>
      </x:c>
      <x:c r="B179" s="52" t="n">
        <x:v>8</x:v>
      </x:c>
      <x:c r="C179" s="52" t="str">
        <x:v>nynj</x:v>
      </x:c>
      <x:c r="D179" s="52" t="str">
        <x:v>New York/New Jersey</x:v>
      </x:c>
      <x:c r="E179" s="52" t="str">
        <x:v>hub</x:v>
      </x:c>
      <x:c r="F179" s="52" t="str">
        <x:v>Hub-to-stadium shuttle package</x:v>
      </x:c>
      <x:c r="G179" s="52" t="str">
        <x:v>temporary</x:v>
      </x:c>
      <x:c r="H179" s="52" t="str">
        <x:v>nynj-american-dream-corridor</x:v>
      </x:c>
      <x:c r="I179" s="52" t="str">
        <x:v>NYNJ-ADM</x:v>
      </x:c>
      <x:c r="J179" s="52" t="str">
        <x:v>American Dream–MetLife protected corridor</x:v>
      </x:c>
      <x:c r="K179" s="53" t="n">
        <x:v>40.81145</x:v>
      </x:c>
      <x:c r="L179" s="53" t="n">
        <x:v>-74.07075</x:v>
      </x:c>
      <x:c r="M179" s="56" t="n">
        <x:v>350</x:v>
      </x:c>
      <x:c r="N179" s="56" t="str">
        <x:v>polygon_extrusion</x:v>
      </x:c>
      <x:c r="O179" s="56" t="n">
        <x:v>90</x:v>
      </x:c>
      <x:c r="P179" s="56" t="n">
        <x:v>60</x:v>
      </x:c>
      <x:c r="Q179" s="56" t="n">
        <x:v>3</x:v>
      </x:c>
      <x:c r="R179" s="56" t="n">
        <x:v>283</x:v>
      </x:c>
      <x:c r="S179" s="56" t="n">
        <x:v>0.05</x:v>
      </x:c>
      <x:c r="T179" s="52" t="str">
        <x:v>#F59E0B</x:v>
      </x:c>
      <x:c r="U179" s="55" t="n">
        <x:v>0.55</x:v>
      </x:c>
      <x:c r="V179" s="58" t="n">
        <x:f>'Funding Categories'!L99</x:f>
        <x:v>600000</x:v>
      </x:c>
      <x:c r="W179" s="52" t="str">
        <x:f>IF(V179&gt;0,"Yes","No")</x:f>
        <x:v>Yes</x:v>
      </x:c>
      <x:c r="X179" s="52" t="str">
        <x:v>pop-up shuttle zone; temporary shelters and dispatch</x:v>
      </x:c>
      <x:c r="Y179" s="52" t="str">
        <x:v>concept_only</x:v>
      </x:c>
      <x:c r="Z179" s="52" t="str">
        <x:v>planning_anchor ±25–100 m</x:v>
      </x:c>
      <x:c r="AA179" s="52" t="str">
        <x:v>engineering_assumption</x:v>
      </x:c>
      <x:c r="AB179" s="52" t="str">
        <x:v>https://www.njtransit.com/press-releases/new-jersey-interagency-transportation-after-action-report-aar-njny-stadium-fifa</x:v>
      </x:c>
    </x:row>
    <x:row r="180">
      <x:c r="A180" s="52" t="str">
        <x:v>nynj-hub-PERM</x:v>
      </x:c>
      <x:c r="B180" s="52" t="n">
        <x:v>8</x:v>
      </x:c>
      <x:c r="C180" s="52" t="str">
        <x:v>nynj</x:v>
      </x:c>
      <x:c r="D180" s="52" t="str">
        <x:v>New York/New Jersey</x:v>
      </x:c>
      <x:c r="E180" s="52" t="str">
        <x:v>hub</x:v>
      </x:c>
      <x:c r="F180" s="52" t="str">
        <x:v>Hub-to-stadium shuttle package</x:v>
      </x:c>
      <x:c r="G180" s="52" t="str">
        <x:v>permanent</x:v>
      </x:c>
      <x:c r="H180" s="52" t="str">
        <x:v>nynj-american-dream-corridor</x:v>
      </x:c>
      <x:c r="I180" s="52" t="str">
        <x:v>NYNJ-ADM</x:v>
      </x:c>
      <x:c r="J180" s="52" t="str">
        <x:v>American Dream–MetLife protected corridor</x:v>
      </x:c>
      <x:c r="K180" s="53" t="n">
        <x:v>40.81145</x:v>
      </x:c>
      <x:c r="L180" s="53" t="n">
        <x:v>-74.07075</x:v>
      </x:c>
      <x:c r="M180" s="56" t="n">
        <x:v>350</x:v>
      </x:c>
      <x:c r="N180" s="56" t="str">
        <x:v>polygon_extrusion</x:v>
      </x:c>
      <x:c r="O180" s="56" t="n">
        <x:v>90</x:v>
      </x:c>
      <x:c r="P180" s="56" t="n">
        <x:v>60</x:v>
      </x:c>
      <x:c r="Q180" s="56" t="n">
        <x:v>6</x:v>
      </x:c>
      <x:c r="R180" s="56" t="n">
        <x:v>290</x:v>
      </x:c>
      <x:c r="S180" s="56" t="n">
        <x:v>0.1</x:v>
      </x:c>
      <x:c r="T180" s="52" t="str">
        <x:v>#2563EB</x:v>
      </x:c>
      <x:c r="U180" s="55" t="n">
        <x:v>0.85</x:v>
      </x:c>
      <x:c r="V180" s="58" t="n">
        <x:f>'Funding Categories'!M99</x:f>
        <x:v>900000</x:v>
      </x:c>
      <x:c r="W180" s="52" t="str">
        <x:f>IF(V180&gt;0,"Yes","No")</x:f>
        <x:v>Yes</x:v>
      </x:c>
      <x:c r="X180" s="52" t="str">
        <x:v>permanent multimodal mobility hub</x:v>
      </x:c>
      <x:c r="Y180" s="52" t="str">
        <x:v>concept_only</x:v>
      </x:c>
      <x:c r="Z180" s="52" t="str">
        <x:v>planning_anchor ±25–100 m</x:v>
      </x:c>
      <x:c r="AA180" s="52" t="str">
        <x:v>engineering_assumption</x:v>
      </x:c>
      <x:c r="AB180" s="52" t="str">
        <x:v>https://www.njtransit.com/press-releases/new-jersey-interagency-transportation-after-action-report-aar-njny-stadium-fifa</x:v>
      </x:c>
    </x:row>
    <x:row r="181">
      <x:c r="A181" s="52" t="str">
        <x:v>nynj-parkride-TMP</x:v>
      </x:c>
      <x:c r="B181" s="52" t="n">
        <x:v>8</x:v>
      </x:c>
      <x:c r="C181" s="52" t="str">
        <x:v>nynj</x:v>
      </x:c>
      <x:c r="D181" s="52" t="str">
        <x:v>New York/New Jersey</x:v>
      </x:c>
      <x:c r="E181" s="52" t="str">
        <x:v>parkride</x:v>
      </x:c>
      <x:c r="F181" s="52" t="str">
        <x:v>Park-and-ride package</x:v>
      </x:c>
      <x:c r="G181" s="52" t="str">
        <x:v>temporary</x:v>
      </x:c>
      <x:c r="H181" s="52" t="str">
        <x:v>nynj-american-dream-corridor</x:v>
      </x:c>
      <x:c r="I181" s="52" t="str">
        <x:v>NYNJ-ADM</x:v>
      </x:c>
      <x:c r="J181" s="52" t="str">
        <x:v>American Dream–MetLife protected corridor</x:v>
      </x:c>
      <x:c r="K181" s="53" t="n">
        <x:v>40.81145</x:v>
      </x:c>
      <x:c r="L181" s="53" t="n">
        <x:v>-74.07075</x:v>
      </x:c>
      <x:c r="M181" s="56" t="n">
        <x:v>350</x:v>
      </x:c>
      <x:c r="N181" s="56" t="str">
        <x:v>polygon_extrusion</x:v>
      </x:c>
      <x:c r="O181" s="56" t="n">
        <x:v>220</x:v>
      </x:c>
      <x:c r="P181" s="56" t="n">
        <x:v>150</x:v>
      </x:c>
      <x:c r="Q181" s="56" t="n">
        <x:v>0.2</x:v>
      </x:c>
      <x:c r="R181" s="56" t="n">
        <x:v>300</x:v>
      </x:c>
      <x:c r="S181" s="56" t="n">
        <x:v>0.05</x:v>
      </x:c>
      <x:c r="T181" s="52" t="str">
        <x:v>#F59E0B</x:v>
      </x:c>
      <x:c r="U181" s="55" t="n">
        <x:v>0.55</x:v>
      </x:c>
      <x:c r="V181" s="58" t="n">
        <x:f>'Funding Categories'!L100</x:f>
        <x:v>0</x:v>
      </x:c>
      <x:c r="W181" s="52" t="str">
        <x:f>IF(V181&gt;0,"Yes","No")</x:f>
        <x:v>No</x:v>
      </x:c>
      <x:c r="X181" s="52" t="str">
        <x:v>leased intercept lots and temporary signing</x:v>
      </x:c>
      <x:c r="Y181" s="52" t="str">
        <x:v>concept_only</x:v>
      </x:c>
      <x:c r="Z181" s="52" t="str">
        <x:v>planning_anchor ±25–100 m</x:v>
      </x:c>
      <x:c r="AA181" s="52" t="str">
        <x:v>engineering_assumption</x:v>
      </x:c>
      <x:c r="AB181" s="52" t="str">
        <x:v>https://www.njtransit.com/press-releases/new-jersey-interagency-transportation-after-action-report-aar-njny-stadium-fifa</x:v>
      </x:c>
    </x:row>
    <x:row r="182">
      <x:c r="A182" s="52" t="str">
        <x:v>nynj-parkride-PERM</x:v>
      </x:c>
      <x:c r="B182" s="52" t="n">
        <x:v>8</x:v>
      </x:c>
      <x:c r="C182" s="52" t="str">
        <x:v>nynj</x:v>
      </x:c>
      <x:c r="D182" s="52" t="str">
        <x:v>New York/New Jersey</x:v>
      </x:c>
      <x:c r="E182" s="52" t="str">
        <x:v>parkride</x:v>
      </x:c>
      <x:c r="F182" s="52" t="str">
        <x:v>Park-and-ride package</x:v>
      </x:c>
      <x:c r="G182" s="52" t="str">
        <x:v>permanent</x:v>
      </x:c>
      <x:c r="H182" s="52" t="str">
        <x:v>nynj-american-dream-corridor</x:v>
      </x:c>
      <x:c r="I182" s="52" t="str">
        <x:v>NYNJ-ADM</x:v>
      </x:c>
      <x:c r="J182" s="52" t="str">
        <x:v>American Dream–MetLife protected corridor</x:v>
      </x:c>
      <x:c r="K182" s="53" t="n">
        <x:v>40.81145</x:v>
      </x:c>
      <x:c r="L182" s="53" t="n">
        <x:v>-74.07075</x:v>
      </x:c>
      <x:c r="M182" s="56" t="n">
        <x:v>350</x:v>
      </x:c>
      <x:c r="N182" s="56" t="str">
        <x:v>polygon_extrusion</x:v>
      </x:c>
      <x:c r="O182" s="56" t="n">
        <x:v>220</x:v>
      </x:c>
      <x:c r="P182" s="56" t="n">
        <x:v>150</x:v>
      </x:c>
      <x:c r="Q182" s="56" t="n">
        <x:v>0.2</x:v>
      </x:c>
      <x:c r="R182" s="56" t="n">
        <x:v>307</x:v>
      </x:c>
      <x:c r="S182" s="56" t="n">
        <x:v>0.1</x:v>
      </x:c>
      <x:c r="T182" s="52" t="str">
        <x:v>#2563EB</x:v>
      </x:c>
      <x:c r="U182" s="55" t="n">
        <x:v>0.85</x:v>
      </x:c>
      <x:c r="V182" s="58" t="n">
        <x:f>'Funding Categories'!M100</x:f>
        <x:v>0</x:v>
      </x:c>
      <x:c r="W182" s="52" t="str">
        <x:f>IF(V182&gt;0,"Yes","No")</x:f>
        <x:v>No</x:v>
      </x:c>
      <x:c r="X182" s="52" t="str">
        <x:v>permanent park-and-ride with charging and transit access</x:v>
      </x:c>
      <x:c r="Y182" s="52" t="str">
        <x:v>concept_only</x:v>
      </x:c>
      <x:c r="Z182" s="52" t="str">
        <x:v>planning_anchor ±25–100 m</x:v>
      </x:c>
      <x:c r="AA182" s="52" t="str">
        <x:v>engineering_assumption</x:v>
      </x:c>
      <x:c r="AB182" s="52" t="str">
        <x:v>https://www.njtransit.com/press-releases/new-jersey-interagency-transportation-after-action-report-aar-njny-stadium-fifa</x:v>
      </x:c>
    </x:row>
    <x:row r="183">
      <x:c r="A183" s="52" t="str">
        <x:v>nynj-ped-TMP</x:v>
      </x:c>
      <x:c r="B183" s="52" t="n">
        <x:v>8</x:v>
      </x:c>
      <x:c r="C183" s="52" t="str">
        <x:v>nynj</x:v>
      </x:c>
      <x:c r="D183" s="52" t="str">
        <x:v>New York/New Jersey</x:v>
      </x:c>
      <x:c r="E183" s="52" t="str">
        <x:v>ped</x:v>
      </x:c>
      <x:c r="F183" s="52" t="str">
        <x:v>Protected pedestrian corridor</x:v>
      </x:c>
      <x:c r="G183" s="52" t="str">
        <x:v>temporary</x:v>
      </x:c>
      <x:c r="H183" s="52" t="str">
        <x:v>nynj-meadowlands-station</x:v>
      </x:c>
      <x:c r="I183" s="52" t="str">
        <x:v>NYNJ-MRS</x:v>
      </x:c>
      <x:c r="J183" s="52" t="str">
        <x:v>Meadowlands Rail Station and aerial walkway</x:v>
      </x:c>
      <x:c r="K183" s="53" t="n">
        <x:v>40.807664</x:v>
      </x:c>
      <x:c r="L183" s="53" t="n">
        <x:v>-74.069833</x:v>
      </x:c>
      <x:c r="M183" s="56" t="n">
        <x:v>250</x:v>
      </x:c>
      <x:c r="N183" s="56" t="str">
        <x:v>line_extrusion</x:v>
      </x:c>
      <x:c r="O183" s="56" t="n">
        <x:v>1600</x:v>
      </x:c>
      <x:c r="P183" s="56" t="n">
        <x:v>6</x:v>
      </x:c>
      <x:c r="Q183" s="56" t="n">
        <x:v>0.15</x:v>
      </x:c>
      <x:c r="R183" s="56" t="n">
        <x:v>317</x:v>
      </x:c>
      <x:c r="S183" s="56" t="n">
        <x:v>0.05</x:v>
      </x:c>
      <x:c r="T183" s="52" t="str">
        <x:v>#F59E0B</x:v>
      </x:c>
      <x:c r="U183" s="55" t="n">
        <x:v>0.55</x:v>
      </x:c>
      <x:c r="V183" s="58" t="n">
        <x:f>'Funding Categories'!L101</x:f>
        <x:v>210000</x:v>
      </x:c>
      <x:c r="W183" s="52" t="str">
        <x:f>IF(V183&gt;0,"Yes","No")</x:f>
        <x:v>Yes</x:v>
      </x:c>
      <x:c r="X183" s="52" t="str">
        <x:v>barricaded protected corridor; marshals and lighting</x:v>
      </x:c>
      <x:c r="Y183" s="52" t="str">
        <x:v>concept_only</x:v>
      </x:c>
      <x:c r="Z183" s="52" t="str">
        <x:v>planning_anchor ±25–100 m</x:v>
      </x:c>
      <x:c r="AA183" s="52" t="str">
        <x:v>engineering_assumption</x:v>
      </x:c>
      <x:c r="AB183" s="52" t="str">
        <x:v>https://www.njtransit.com/meadowlands</x:v>
      </x:c>
    </x:row>
    <x:row r="184">
      <x:c r="A184" s="52" t="str">
        <x:v>nynj-ped-PERM</x:v>
      </x:c>
      <x:c r="B184" s="52" t="n">
        <x:v>8</x:v>
      </x:c>
      <x:c r="C184" s="52" t="str">
        <x:v>nynj</x:v>
      </x:c>
      <x:c r="D184" s="52" t="str">
        <x:v>New York/New Jersey</x:v>
      </x:c>
      <x:c r="E184" s="52" t="str">
        <x:v>ped</x:v>
      </x:c>
      <x:c r="F184" s="52" t="str">
        <x:v>Protected pedestrian corridor</x:v>
      </x:c>
      <x:c r="G184" s="52" t="str">
        <x:v>permanent</x:v>
      </x:c>
      <x:c r="H184" s="52" t="str">
        <x:v>nynj-meadowlands-station</x:v>
      </x:c>
      <x:c r="I184" s="52" t="str">
        <x:v>NYNJ-MRS</x:v>
      </x:c>
      <x:c r="J184" s="52" t="str">
        <x:v>Meadowlands Rail Station and aerial walkway</x:v>
      </x:c>
      <x:c r="K184" s="53" t="n">
        <x:v>40.807664</x:v>
      </x:c>
      <x:c r="L184" s="53" t="n">
        <x:v>-74.069833</x:v>
      </x:c>
      <x:c r="M184" s="56" t="n">
        <x:v>250</x:v>
      </x:c>
      <x:c r="N184" s="56" t="str">
        <x:v>line_extrusion</x:v>
      </x:c>
      <x:c r="O184" s="56" t="n">
        <x:v>1600</x:v>
      </x:c>
      <x:c r="P184" s="56" t="n">
        <x:v>6</x:v>
      </x:c>
      <x:c r="Q184" s="56" t="n">
        <x:v>0.15</x:v>
      </x:c>
      <x:c r="R184" s="56" t="n">
        <x:v>324</x:v>
      </x:c>
      <x:c r="S184" s="56" t="n">
        <x:v>0.1</x:v>
      </x:c>
      <x:c r="T184" s="52" t="str">
        <x:v>#0F766E</x:v>
      </x:c>
      <x:c r="U184" s="55" t="n">
        <x:v>0.85</x:v>
      </x:c>
      <x:c r="V184" s="58" t="n">
        <x:f>'Funding Categories'!M101</x:f>
        <x:v>390000</x:v>
      </x:c>
      <x:c r="W184" s="52" t="str">
        <x:f>IF(V184&gt;0,"Yes","No")</x:f>
        <x:v>Yes</x:v>
      </x:c>
      <x:c r="X184" s="52" t="str">
        <x:v>widened sidewalk; lighting; drainage and separation</x:v>
      </x:c>
      <x:c r="Y184" s="52" t="str">
        <x:v>concept_only</x:v>
      </x:c>
      <x:c r="Z184" s="52" t="str">
        <x:v>planning_anchor ±25–100 m</x:v>
      </x:c>
      <x:c r="AA184" s="52" t="str">
        <x:v>engineering_assumption</x:v>
      </x:c>
      <x:c r="AB184" s="52" t="str">
        <x:v>https://www.njtransit.com/meadowlands</x:v>
      </x:c>
    </x:row>
    <x:row r="185">
      <x:c r="A185" s="52" t="str">
        <x:v>nynj-bike-TMP</x:v>
      </x:c>
      <x:c r="B185" s="52" t="n">
        <x:v>8</x:v>
      </x:c>
      <x:c r="C185" s="52" t="str">
        <x:v>nynj</x:v>
      </x:c>
      <x:c r="D185" s="52" t="str">
        <x:v>New York/New Jersey</x:v>
      </x:c>
      <x:c r="E185" s="52" t="str">
        <x:v>bike</x:v>
      </x:c>
      <x:c r="F185" s="52" t="str">
        <x:v>Protected bicycle access</x:v>
      </x:c>
      <x:c r="G185" s="52" t="str">
        <x:v>temporary</x:v>
      </x:c>
      <x:c r="H185" s="52" t="str">
        <x:v>nynj-meadowlands-station</x:v>
      </x:c>
      <x:c r="I185" s="52" t="str">
        <x:v>NYNJ-MRS</x:v>
      </x:c>
      <x:c r="J185" s="52" t="str">
        <x:v>Meadowlands Rail Station and aerial walkway</x:v>
      </x:c>
      <x:c r="K185" s="53" t="n">
        <x:v>40.807664</x:v>
      </x:c>
      <x:c r="L185" s="53" t="n">
        <x:v>-74.069833</x:v>
      </x:c>
      <x:c r="M185" s="56" t="n">
        <x:v>250</x:v>
      </x:c>
      <x:c r="N185" s="56" t="str">
        <x:v>line_extrusion</x:v>
      </x:c>
      <x:c r="O185" s="56" t="n">
        <x:v>3200</x:v>
      </x:c>
      <x:c r="P185" s="56" t="n">
        <x:v>3</x:v>
      </x:c>
      <x:c r="Q185" s="56" t="n">
        <x:v>0.1</x:v>
      </x:c>
      <x:c r="R185" s="56" t="n">
        <x:v>334</x:v>
      </x:c>
      <x:c r="S185" s="56" t="n">
        <x:v>0.05</x:v>
      </x:c>
      <x:c r="T185" s="52" t="str">
        <x:v>#F59E0B</x:v>
      </x:c>
      <x:c r="U185" s="55" t="n">
        <x:v>0.55</x:v>
      </x:c>
      <x:c r="V185" s="58" t="n">
        <x:f>'Funding Categories'!L102</x:f>
        <x:v>0</x:v>
      </x:c>
      <x:c r="W185" s="52" t="str">
        <x:f>IF(V185&gt;0,"Yes","No")</x:f>
        <x:v>No</x:v>
      </x:c>
      <x:c r="X185" s="52" t="str">
        <x:v>pop-up protected lane and attended bike valet</x:v>
      </x:c>
      <x:c r="Y185" s="52" t="str">
        <x:v>concept_only</x:v>
      </x:c>
      <x:c r="Z185" s="52" t="str">
        <x:v>planning_anchor ±25–100 m</x:v>
      </x:c>
      <x:c r="AA185" s="52" t="str">
        <x:v>engineering_assumption</x:v>
      </x:c>
      <x:c r="AB185" s="52" t="str">
        <x:v>https://www.njtransit.com/meadowlands</x:v>
      </x:c>
    </x:row>
    <x:row r="186">
      <x:c r="A186" s="52" t="str">
        <x:v>nynj-bike-PERM</x:v>
      </x:c>
      <x:c r="B186" s="52" t="n">
        <x:v>8</x:v>
      </x:c>
      <x:c r="C186" s="52" t="str">
        <x:v>nynj</x:v>
      </x:c>
      <x:c r="D186" s="52" t="str">
        <x:v>New York/New Jersey</x:v>
      </x:c>
      <x:c r="E186" s="52" t="str">
        <x:v>bike</x:v>
      </x:c>
      <x:c r="F186" s="52" t="str">
        <x:v>Protected bicycle access</x:v>
      </x:c>
      <x:c r="G186" s="52" t="str">
        <x:v>permanent</x:v>
      </x:c>
      <x:c r="H186" s="52" t="str">
        <x:v>nynj-meadowlands-station</x:v>
      </x:c>
      <x:c r="I186" s="52" t="str">
        <x:v>NYNJ-MRS</x:v>
      </x:c>
      <x:c r="J186" s="52" t="str">
        <x:v>Meadowlands Rail Station and aerial walkway</x:v>
      </x:c>
      <x:c r="K186" s="53" t="n">
        <x:v>40.807664</x:v>
      </x:c>
      <x:c r="L186" s="53" t="n">
        <x:v>-74.069833</x:v>
      </x:c>
      <x:c r="M186" s="56" t="n">
        <x:v>250</x:v>
      </x:c>
      <x:c r="N186" s="56" t="str">
        <x:v>line_extrusion</x:v>
      </x:c>
      <x:c r="O186" s="56" t="n">
        <x:v>3200</x:v>
      </x:c>
      <x:c r="P186" s="56" t="n">
        <x:v>3</x:v>
      </x:c>
      <x:c r="Q186" s="56" t="n">
        <x:v>0.1</x:v>
      </x:c>
      <x:c r="R186" s="56" t="n">
        <x:v>341</x:v>
      </x:c>
      <x:c r="S186" s="56" t="n">
        <x:v>0.1</x:v>
      </x:c>
      <x:c r="T186" s="52" t="str">
        <x:v>#0F766E</x:v>
      </x:c>
      <x:c r="U186" s="55" t="n">
        <x:v>0.85</x:v>
      </x:c>
      <x:c r="V186" s="58" t="n">
        <x:f>'Funding Categories'!M102</x:f>
        <x:v>0</x:v>
      </x:c>
      <x:c r="W186" s="52" t="str">
        <x:f>IF(V186&gt;0,"Yes","No")</x:f>
        <x:v>No</x:v>
      </x:c>
      <x:c r="X186" s="52" t="str">
        <x:v>protected bikeway and secure long-term parking</x:v>
      </x:c>
      <x:c r="Y186" s="52" t="str">
        <x:v>concept_only</x:v>
      </x:c>
      <x:c r="Z186" s="52" t="str">
        <x:v>planning_anchor ±25–100 m</x:v>
      </x:c>
      <x:c r="AA186" s="52" t="str">
        <x:v>engineering_assumption</x:v>
      </x:c>
      <x:c r="AB186" s="52" t="str">
        <x:v>https://www.njtransit.com/meadowlands</x:v>
      </x:c>
    </x:row>
    <x:row r="187">
      <x:c r="A187" s="52" t="str">
        <x:v>nynj-tnc-TMP</x:v>
      </x:c>
      <x:c r="B187" s="52" t="n">
        <x:v>8</x:v>
      </x:c>
      <x:c r="C187" s="52" t="str">
        <x:v>nynj</x:v>
      </x:c>
      <x:c r="D187" s="52" t="str">
        <x:v>New York/New Jersey</x:v>
      </x:c>
      <x:c r="E187" s="52" t="str">
        <x:v>tnc</x:v>
      </x:c>
      <x:c r="F187" s="52" t="str">
        <x:v>Managed rideshare hub</x:v>
      </x:c>
      <x:c r="G187" s="52" t="str">
        <x:v>temporary</x:v>
      </x:c>
      <x:c r="H187" s="52" t="str">
        <x:v>nynj-american-dream-corridor</x:v>
      </x:c>
      <x:c r="I187" s="52" t="str">
        <x:v>NYNJ-ADM</x:v>
      </x:c>
      <x:c r="J187" s="52" t="str">
        <x:v>American Dream–MetLife protected corridor</x:v>
      </x:c>
      <x:c r="K187" s="53" t="n">
        <x:v>40.81145</x:v>
      </x:c>
      <x:c r="L187" s="53" t="n">
        <x:v>-74.07075</x:v>
      </x:c>
      <x:c r="M187" s="56" t="n">
        <x:v>350</x:v>
      </x:c>
      <x:c r="N187" s="56" t="str">
        <x:v>polygon_extrusion</x:v>
      </x:c>
      <x:c r="O187" s="56" t="n">
        <x:v>70</x:v>
      </x:c>
      <x:c r="P187" s="56" t="n">
        <x:v>45</x:v>
      </x:c>
      <x:c r="Q187" s="56" t="n">
        <x:v>0.2</x:v>
      </x:c>
      <x:c r="R187" s="56" t="n">
        <x:v>351</x:v>
      </x:c>
      <x:c r="S187" s="56" t="n">
        <x:v>0.05</x:v>
      </x:c>
      <x:c r="T187" s="52" t="str">
        <x:v>#F59E0B</x:v>
      </x:c>
      <x:c r="U187" s="55" t="n">
        <x:v>0.55</x:v>
      </x:c>
      <x:c r="V187" s="58" t="n">
        <x:f>'Funding Categories'!L103</x:f>
        <x:v>600000</x:v>
      </x:c>
      <x:c r="W187" s="52" t="str">
        <x:f>IF(V187&gt;0,"Yes","No")</x:f>
        <x:v>Yes</x:v>
      </x:c>
      <x:c r="X187" s="52" t="str">
        <x:v>staffed geofenced pickup with temporary lane control</x:v>
      </x:c>
      <x:c r="Y187" s="52" t="str">
        <x:v>concept_only</x:v>
      </x:c>
      <x:c r="Z187" s="52" t="str">
        <x:v>planning_anchor ±25–100 m</x:v>
      </x:c>
      <x:c r="AA187" s="52" t="str">
        <x:v>engineering_assumption</x:v>
      </x:c>
      <x:c r="AB187" s="52" t="str">
        <x:v>https://www.njtransit.com/press-releases/new-jersey-interagency-transportation-after-action-report-aar-njny-stadium-fifa</x:v>
      </x:c>
    </x:row>
    <x:row r="188">
      <x:c r="A188" s="52" t="str">
        <x:v>nynj-tnc-PERM</x:v>
      </x:c>
      <x:c r="B188" s="52" t="n">
        <x:v>8</x:v>
      </x:c>
      <x:c r="C188" s="52" t="str">
        <x:v>nynj</x:v>
      </x:c>
      <x:c r="D188" s="52" t="str">
        <x:v>New York/New Jersey</x:v>
      </x:c>
      <x:c r="E188" s="52" t="str">
        <x:v>tnc</x:v>
      </x:c>
      <x:c r="F188" s="52" t="str">
        <x:v>Managed rideshare hub</x:v>
      </x:c>
      <x:c r="G188" s="52" t="str">
        <x:v>permanent</x:v>
      </x:c>
      <x:c r="H188" s="52" t="str">
        <x:v>nynj-american-dream-corridor</x:v>
      </x:c>
      <x:c r="I188" s="52" t="str">
        <x:v>NYNJ-ADM</x:v>
      </x:c>
      <x:c r="J188" s="52" t="str">
        <x:v>American Dream–MetLife protected corridor</x:v>
      </x:c>
      <x:c r="K188" s="53" t="n">
        <x:v>40.81145</x:v>
      </x:c>
      <x:c r="L188" s="53" t="n">
        <x:v>-74.07075</x:v>
      </x:c>
      <x:c r="M188" s="56" t="n">
        <x:v>350</x:v>
      </x:c>
      <x:c r="N188" s="56" t="str">
        <x:v>polygon_extrusion</x:v>
      </x:c>
      <x:c r="O188" s="56" t="n">
        <x:v>70</x:v>
      </x:c>
      <x:c r="P188" s="56" t="n">
        <x:v>45</x:v>
      </x:c>
      <x:c r="Q188" s="56" t="n">
        <x:v>0.2</x:v>
      </x:c>
      <x:c r="R188" s="56" t="n">
        <x:v>358</x:v>
      </x:c>
      <x:c r="S188" s="56" t="n">
        <x:v>0.1</x:v>
      </x:c>
      <x:c r="T188" s="52" t="str">
        <x:v>#2563EB</x:v>
      </x:c>
      <x:c r="U188" s="55" t="n">
        <x:v>0.85</x:v>
      </x:c>
      <x:c r="V188" s="58" t="n">
        <x:f>'Funding Categories'!M103</x:f>
        <x:v>600000</x:v>
      </x:c>
      <x:c r="W188" s="52" t="str">
        <x:f>IF(V188&gt;0,"Yes","No")</x:f>
        <x:v>Yes</x:v>
      </x:c>
      <x:c r="X188" s="52" t="str">
        <x:v>off-street rideshare hub with accessible bays</x:v>
      </x:c>
      <x:c r="Y188" s="52" t="str">
        <x:v>concept_only</x:v>
      </x:c>
      <x:c r="Z188" s="52" t="str">
        <x:v>planning_anchor ±25–100 m</x:v>
      </x:c>
      <x:c r="AA188" s="52" t="str">
        <x:v>engineering_assumption</x:v>
      </x:c>
      <x:c r="AB188" s="52" t="str">
        <x:v>https://www.njtransit.com/press-releases/new-jersey-interagency-transportation-after-action-report-aar-njny-stadium-fifa</x:v>
      </x:c>
    </x:row>
    <x:row r="189">
      <x:c r="A189" s="52" t="str">
        <x:v>nynj-wayfinding-TMP</x:v>
      </x:c>
      <x:c r="B189" s="52" t="n">
        <x:v>8</x:v>
      </x:c>
      <x:c r="C189" s="52" t="str">
        <x:v>nynj</x:v>
      </x:c>
      <x:c r="D189" s="52" t="str">
        <x:v>New York/New Jersey</x:v>
      </x:c>
      <x:c r="E189" s="52" t="str">
        <x:v>wayfinding</x:v>
      </x:c>
      <x:c r="F189" s="52" t="str">
        <x:v>Multilingual wayfinding</x:v>
      </x:c>
      <x:c r="G189" s="52" t="str">
        <x:v>temporary</x:v>
      </x:c>
      <x:c r="H189" s="52" t="str">
        <x:v>nynj-meadowlands-station</x:v>
      </x:c>
      <x:c r="I189" s="52" t="str">
        <x:v>NYNJ-MRS</x:v>
      </x:c>
      <x:c r="J189" s="52" t="str">
        <x:v>Meadowlands Rail Station and aerial walkway</x:v>
      </x:c>
      <x:c r="K189" s="53" t="n">
        <x:v>40.807664</x:v>
      </x:c>
      <x:c r="L189" s="53" t="n">
        <x:v>-74.069833</x:v>
      </x:c>
      <x:c r="M189" s="56" t="n">
        <x:v>250</x:v>
      </x:c>
      <x:c r="N189" s="56" t="str">
        <x:v>point_model</x:v>
      </x:c>
      <x:c r="O189" s="56" t="n">
        <x:v>1</x:v>
      </x:c>
      <x:c r="P189" s="56" t="n">
        <x:v>1</x:v>
      </x:c>
      <x:c r="Q189" s="56" t="n">
        <x:v>2.5</x:v>
      </x:c>
      <x:c r="R189" s="56" t="n">
        <x:v>8</x:v>
      </x:c>
      <x:c r="S189" s="56" t="n">
        <x:v>0.05</x:v>
      </x:c>
      <x:c r="T189" s="52" t="str">
        <x:v>#F59E0B</x:v>
      </x:c>
      <x:c r="U189" s="55" t="n">
        <x:v>0.55</x:v>
      </x:c>
      <x:c r="V189" s="58" t="n">
        <x:f>'Funding Categories'!L104</x:f>
        <x:v>135000</x:v>
      </x:c>
      <x:c r="W189" s="52" t="str">
        <x:f>IF(V189&gt;0,"Yes","No")</x:f>
        <x:v>Yes</x:v>
      </x:c>
      <x:c r="X189" s="52" t="str">
        <x:v>portable signs; digital messages; multilingual ambassadors</x:v>
      </x:c>
      <x:c r="Y189" s="52" t="str">
        <x:v>concept_only</x:v>
      </x:c>
      <x:c r="Z189" s="52" t="str">
        <x:v>planning_anchor ±25–100 m</x:v>
      </x:c>
      <x:c r="AA189" s="52" t="str">
        <x:v>engineering_assumption</x:v>
      </x:c>
      <x:c r="AB189" s="52" t="str">
        <x:v>https://www.njtransit.com/meadowlands</x:v>
      </x:c>
    </x:row>
    <x:row r="190">
      <x:c r="A190" s="52" t="str">
        <x:v>nynj-wayfinding-PERM</x:v>
      </x:c>
      <x:c r="B190" s="52" t="n">
        <x:v>8</x:v>
      </x:c>
      <x:c r="C190" s="52" t="str">
        <x:v>nynj</x:v>
      </x:c>
      <x:c r="D190" s="52" t="str">
        <x:v>New York/New Jersey</x:v>
      </x:c>
      <x:c r="E190" s="52" t="str">
        <x:v>wayfinding</x:v>
      </x:c>
      <x:c r="F190" s="52" t="str">
        <x:v>Multilingual wayfinding</x:v>
      </x:c>
      <x:c r="G190" s="52" t="str">
        <x:v>permanent</x:v>
      </x:c>
      <x:c r="H190" s="52" t="str">
        <x:v>nynj-meadowlands-station</x:v>
      </x:c>
      <x:c r="I190" s="52" t="str">
        <x:v>NYNJ-MRS</x:v>
      </x:c>
      <x:c r="J190" s="52" t="str">
        <x:v>Meadowlands Rail Station and aerial walkway</x:v>
      </x:c>
      <x:c r="K190" s="53" t="n">
        <x:v>40.807664</x:v>
      </x:c>
      <x:c r="L190" s="53" t="n">
        <x:v>-74.069833</x:v>
      </x:c>
      <x:c r="M190" s="56" t="n">
        <x:v>250</x:v>
      </x:c>
      <x:c r="N190" s="56" t="str">
        <x:v>point_model</x:v>
      </x:c>
      <x:c r="O190" s="56" t="n">
        <x:v>1</x:v>
      </x:c>
      <x:c r="P190" s="56" t="n">
        <x:v>1</x:v>
      </x:c>
      <x:c r="Q190" s="56" t="n">
        <x:v>4</x:v>
      </x:c>
      <x:c r="R190" s="56" t="n">
        <x:v>15</x:v>
      </x:c>
      <x:c r="S190" s="56" t="n">
        <x:v>0.1</x:v>
      </x:c>
      <x:c r="T190" s="52" t="str">
        <x:v>#2563EB</x:v>
      </x:c>
      <x:c r="U190" s="55" t="n">
        <x:v>0.85</x:v>
      </x:c>
      <x:c r="V190" s="58" t="n">
        <x:f>'Funding Categories'!M104</x:f>
        <x:v>165000</x:v>
      </x:c>
      <x:c r="W190" s="52" t="str">
        <x:f>IF(V190&gt;0,"Yes","No")</x:f>
        <x:v>Yes</x:v>
      </x:c>
      <x:c r="X190" s="52" t="str">
        <x:v>fixed multilingual physical and digital wayfinding</x:v>
      </x:c>
      <x:c r="Y190" s="52" t="str">
        <x:v>concept_only</x:v>
      </x:c>
      <x:c r="Z190" s="52" t="str">
        <x:v>planning_anchor ±25–100 m</x:v>
      </x:c>
      <x:c r="AA190" s="52" t="str">
        <x:v>engineering_assumption</x:v>
      </x:c>
      <x:c r="AB190" s="52" t="str">
        <x:v>https://www.njtransit.com/meadowlands</x:v>
      </x:c>
    </x:row>
    <x:row r="191">
      <x:c r="A191" s="52" t="str">
        <x:v>nynj-station-TMP</x:v>
      </x:c>
      <x:c r="B191" s="52" t="n">
        <x:v>8</x:v>
      </x:c>
      <x:c r="C191" s="52" t="str">
        <x:v>nynj</x:v>
      </x:c>
      <x:c r="D191" s="52" t="str">
        <x:v>New York/New Jersey</x:v>
      </x:c>
      <x:c r="E191" s="52" t="str">
        <x:v>station</x:v>
      </x:c>
      <x:c r="F191" s="52" t="str">
        <x:v>Station-capacity package</x:v>
      </x:c>
      <x:c r="G191" s="52" t="str">
        <x:v>temporary</x:v>
      </x:c>
      <x:c r="H191" s="52" t="str">
        <x:v>nynj-meadowlands-station</x:v>
      </x:c>
      <x:c r="I191" s="52" t="str">
        <x:v>NYNJ-MRS</x:v>
      </x:c>
      <x:c r="J191" s="52" t="str">
        <x:v>Meadowlands Rail Station and aerial walkway</x:v>
      </x:c>
      <x:c r="K191" s="53" t="n">
        <x:v>40.807664</x:v>
      </x:c>
      <x:c r="L191" s="53" t="n">
        <x:v>-74.069833</x:v>
      </x:c>
      <x:c r="M191" s="56" t="n">
        <x:v>250</x:v>
      </x:c>
      <x:c r="N191" s="56" t="str">
        <x:v>glb_model</x:v>
      </x:c>
      <x:c r="O191" s="56" t="n">
        <x:v>120</x:v>
      </x:c>
      <x:c r="P191" s="56" t="n">
        <x:v>45</x:v>
      </x:c>
      <x:c r="Q191" s="56" t="n">
        <x:v>6</x:v>
      </x:c>
      <x:c r="R191" s="56" t="n">
        <x:v>25</x:v>
      </x:c>
      <x:c r="S191" s="56" t="n">
        <x:v>0.05</x:v>
      </x:c>
      <x:c r="T191" s="52" t="str">
        <x:v>#F59E0B</x:v>
      </x:c>
      <x:c r="U191" s="55" t="n">
        <x:v>0.55</x:v>
      </x:c>
      <x:c r="V191" s="58" t="n">
        <x:f>'Funding Categories'!L105</x:f>
        <x:v>500000</x:v>
      </x:c>
      <x:c r="W191" s="52" t="str">
        <x:f>IF(V191&gt;0,"Yes","No")</x:f>
        <x:v>Yes</x:v>
      </x:c>
      <x:c r="X191" s="52" t="str">
        <x:v>temporary gates; queue barriers; portable fare equipment</x:v>
      </x:c>
      <x:c r="Y191" s="52" t="str">
        <x:v>concept_only</x:v>
      </x:c>
      <x:c r="Z191" s="52" t="str">
        <x:v>planning_anchor ±25–100 m</x:v>
      </x:c>
      <x:c r="AA191" s="52" t="str">
        <x:v>engineering_assumption</x:v>
      </x:c>
      <x:c r="AB191" s="52" t="str">
        <x:v>https://www.njtransit.com/meadowlands</x:v>
      </x:c>
    </x:row>
    <x:row r="192">
      <x:c r="A192" s="52" t="str">
        <x:v>nynj-station-PERM</x:v>
      </x:c>
      <x:c r="B192" s="52" t="n">
        <x:v>8</x:v>
      </x:c>
      <x:c r="C192" s="52" t="str">
        <x:v>nynj</x:v>
      </x:c>
      <x:c r="D192" s="52" t="str">
        <x:v>New York/New Jersey</x:v>
      </x:c>
      <x:c r="E192" s="52" t="str">
        <x:v>station</x:v>
      </x:c>
      <x:c r="F192" s="52" t="str">
        <x:v>Station-capacity package</x:v>
      </x:c>
      <x:c r="G192" s="52" t="str">
        <x:v>permanent</x:v>
      </x:c>
      <x:c r="H192" s="52" t="str">
        <x:v>nynj-meadowlands-station</x:v>
      </x:c>
      <x:c r="I192" s="52" t="str">
        <x:v>NYNJ-MRS</x:v>
      </x:c>
      <x:c r="J192" s="52" t="str">
        <x:v>Meadowlands Rail Station and aerial walkway</x:v>
      </x:c>
      <x:c r="K192" s="53" t="n">
        <x:v>40.807664</x:v>
      </x:c>
      <x:c r="L192" s="53" t="n">
        <x:v>-74.069833</x:v>
      </x:c>
      <x:c r="M192" s="56" t="n">
        <x:v>250</x:v>
      </x:c>
      <x:c r="N192" s="56" t="str">
        <x:v>glb_model</x:v>
      </x:c>
      <x:c r="O192" s="56" t="n">
        <x:v>120</x:v>
      </x:c>
      <x:c r="P192" s="56" t="n">
        <x:v>45</x:v>
      </x:c>
      <x:c r="Q192" s="56" t="n">
        <x:v>18</x:v>
      </x:c>
      <x:c r="R192" s="56" t="n">
        <x:v>32</x:v>
      </x:c>
      <x:c r="S192" s="56" t="n">
        <x:v>0.1</x:v>
      </x:c>
      <x:c r="T192" s="52" t="str">
        <x:v>#2563EB</x:v>
      </x:c>
      <x:c r="U192" s="55" t="n">
        <x:v>0.85</x:v>
      </x:c>
      <x:c r="V192" s="58" t="n">
        <x:f>'Funding Categories'!M105</x:f>
        <x:v>2000000</x:v>
      </x:c>
      <x:c r="W192" s="52" t="str">
        <x:f>IF(V192&gt;0,"Yes","No")</x:f>
        <x:v>Yes</x:v>
      </x:c>
      <x:c r="X192" s="52" t="str">
        <x:v>platform, entry and circulation expansion</x:v>
      </x:c>
      <x:c r="Y192" s="52" t="str">
        <x:v>concept_only</x:v>
      </x:c>
      <x:c r="Z192" s="52" t="str">
        <x:v>planning_anchor ±25–100 m</x:v>
      </x:c>
      <x:c r="AA192" s="52" t="str">
        <x:v>engineering_assumption</x:v>
      </x:c>
      <x:c r="AB192" s="52" t="str">
        <x:v>https://www.njtransit.com/meadowlands</x:v>
      </x:c>
    </x:row>
    <x:row r="193">
      <x:c r="A193" s="52" t="str">
        <x:v>nynj-toc-TMP</x:v>
      </x:c>
      <x:c r="B193" s="52" t="n">
        <x:v>8</x:v>
      </x:c>
      <x:c r="C193" s="52" t="str">
        <x:v>nynj</x:v>
      </x:c>
      <x:c r="D193" s="52" t="str">
        <x:v>New York/New Jersey</x:v>
      </x:c>
      <x:c r="E193" s="52" t="str">
        <x:v>toc</x:v>
      </x:c>
      <x:c r="F193" s="52" t="str">
        <x:v>Integrated traffic operations</x:v>
      </x:c>
      <x:c r="G193" s="52" t="str">
        <x:v>temporary</x:v>
      </x:c>
      <x:c r="H193" s="52" t="str">
        <x:v>nynj-american-dream-corridor</x:v>
      </x:c>
      <x:c r="I193" s="52" t="str">
        <x:v>NYNJ-ADM</x:v>
      </x:c>
      <x:c r="J193" s="52" t="str">
        <x:v>American Dream–MetLife protected corridor</x:v>
      </x:c>
      <x:c r="K193" s="53" t="n">
        <x:v>40.81145</x:v>
      </x:c>
      <x:c r="L193" s="53" t="n">
        <x:v>-74.07075</x:v>
      </x:c>
      <x:c r="M193" s="56" t="n">
        <x:v>350</x:v>
      </x:c>
      <x:c r="N193" s="56" t="str">
        <x:v>glb_model</x:v>
      </x:c>
      <x:c r="O193" s="56" t="n">
        <x:v>60</x:v>
      </x:c>
      <x:c r="P193" s="56" t="n">
        <x:v>40</x:v>
      </x:c>
      <x:c r="Q193" s="56" t="n">
        <x:v>4</x:v>
      </x:c>
      <x:c r="R193" s="56" t="n">
        <x:v>42</x:v>
      </x:c>
      <x:c r="S193" s="56" t="n">
        <x:v>0.05</x:v>
      </x:c>
      <x:c r="T193" s="52" t="str">
        <x:v>#F59E0B</x:v>
      </x:c>
      <x:c r="U193" s="55" t="n">
        <x:v>0.55</x:v>
      </x:c>
      <x:c r="V193" s="58" t="n">
        <x:f>'Funding Categories'!L106</x:f>
        <x:v>375000</x:v>
      </x:c>
      <x:c r="W193" s="52" t="str">
        <x:f>IF(V193&gt;0,"Yes","No")</x:f>
        <x:v>Yes</x:v>
      </x:c>
      <x:c r="X193" s="52" t="str">
        <x:v>unified incident command and temporary sensor feeds</x:v>
      </x:c>
      <x:c r="Y193" s="52" t="str">
        <x:v>concept_only</x:v>
      </x:c>
      <x:c r="Z193" s="52" t="str">
        <x:v>planning_anchor ±25–100 m</x:v>
      </x:c>
      <x:c r="AA193" s="52" t="str">
        <x:v>engineering_assumption</x:v>
      </x:c>
      <x:c r="AB193" s="52" t="str">
        <x:v>https://www.njtransit.com/press-releases/new-jersey-interagency-transportation-after-action-report-aar-njny-stadium-fifa</x:v>
      </x:c>
    </x:row>
    <x:row r="194">
      <x:c r="A194" s="52" t="str">
        <x:v>nynj-toc-PERM</x:v>
      </x:c>
      <x:c r="B194" s="52" t="n">
        <x:v>8</x:v>
      </x:c>
      <x:c r="C194" s="52" t="str">
        <x:v>nynj</x:v>
      </x:c>
      <x:c r="D194" s="52" t="str">
        <x:v>New York/New Jersey</x:v>
      </x:c>
      <x:c r="E194" s="52" t="str">
        <x:v>toc</x:v>
      </x:c>
      <x:c r="F194" s="52" t="str">
        <x:v>Integrated traffic operations</x:v>
      </x:c>
      <x:c r="G194" s="52" t="str">
        <x:v>permanent</x:v>
      </x:c>
      <x:c r="H194" s="52" t="str">
        <x:v>nynj-american-dream-corridor</x:v>
      </x:c>
      <x:c r="I194" s="52" t="str">
        <x:v>NYNJ-ADM</x:v>
      </x:c>
      <x:c r="J194" s="52" t="str">
        <x:v>American Dream–MetLife protected corridor</x:v>
      </x:c>
      <x:c r="K194" s="53" t="n">
        <x:v>40.81145</x:v>
      </x:c>
      <x:c r="L194" s="53" t="n">
        <x:v>-74.07075</x:v>
      </x:c>
      <x:c r="M194" s="56" t="n">
        <x:v>350</x:v>
      </x:c>
      <x:c r="N194" s="56" t="str">
        <x:v>glb_model</x:v>
      </x:c>
      <x:c r="O194" s="56" t="n">
        <x:v>60</x:v>
      </x:c>
      <x:c r="P194" s="56" t="n">
        <x:v>40</x:v>
      </x:c>
      <x:c r="Q194" s="56" t="n">
        <x:v>12</x:v>
      </x:c>
      <x:c r="R194" s="56" t="n">
        <x:v>49</x:v>
      </x:c>
      <x:c r="S194" s="56" t="n">
        <x:v>0.1</x:v>
      </x:c>
      <x:c r="T194" s="52" t="str">
        <x:v>#2563EB</x:v>
      </x:c>
      <x:c r="U194" s="55" t="n">
        <x:v>0.85</x:v>
      </x:c>
      <x:c r="V194" s="58" t="n">
        <x:f>'Funding Categories'!M106</x:f>
        <x:v>1125000</x:v>
      </x:c>
      <x:c r="W194" s="52" t="str">
        <x:f>IF(V194&gt;0,"Yes","No")</x:f>
        <x:v>Yes</x:v>
      </x:c>
      <x:c r="X194" s="52" t="str">
        <x:v>integrated operations center and adaptive dispatch</x:v>
      </x:c>
      <x:c r="Y194" s="52" t="str">
        <x:v>concept_only</x:v>
      </x:c>
      <x:c r="Z194" s="52" t="str">
        <x:v>planning_anchor ±25–100 m</x:v>
      </x:c>
      <x:c r="AA194" s="52" t="str">
        <x:v>engineering_assumption</x:v>
      </x:c>
      <x:c r="AB194" s="52" t="str">
        <x:v>https://www.njtransit.com/press-releases/new-jersey-interagency-transportation-after-action-report-aar-njny-stadium-fifa</x:v>
      </x:c>
    </x:row>
    <x:row r="195">
      <x:c r="A195" s="52" t="str">
        <x:v>nynj-access-TMP</x:v>
      </x:c>
      <x:c r="B195" s="52" t="n">
        <x:v>8</x:v>
      </x:c>
      <x:c r="C195" s="52" t="str">
        <x:v>nynj</x:v>
      </x:c>
      <x:c r="D195" s="52" t="str">
        <x:v>New York/New Jersey</x:v>
      </x:c>
      <x:c r="E195" s="52" t="str">
        <x:v>access</x:v>
      </x:c>
      <x:c r="F195" s="52" t="str">
        <x:v>ADA/microtransit access</x:v>
      </x:c>
      <x:c r="G195" s="52" t="str">
        <x:v>temporary</x:v>
      </x:c>
      <x:c r="H195" s="52" t="str">
        <x:v>nynj-meadowlands-station</x:v>
      </x:c>
      <x:c r="I195" s="52" t="str">
        <x:v>NYNJ-MRS</x:v>
      </x:c>
      <x:c r="J195" s="52" t="str">
        <x:v>Meadowlands Rail Station and aerial walkway</x:v>
      </x:c>
      <x:c r="K195" s="53" t="n">
        <x:v>40.807664</x:v>
      </x:c>
      <x:c r="L195" s="53" t="n">
        <x:v>-74.069833</x:v>
      </x:c>
      <x:c r="M195" s="56" t="n">
        <x:v>250</x:v>
      </x:c>
      <x:c r="N195" s="56" t="str">
        <x:v>line_extrusion</x:v>
      </x:c>
      <x:c r="O195" s="56" t="n">
        <x:v>800</x:v>
      </x:c>
      <x:c r="P195" s="56" t="n">
        <x:v>3</x:v>
      </x:c>
      <x:c r="Q195" s="56" t="n">
        <x:v>0.1</x:v>
      </x:c>
      <x:c r="R195" s="56" t="n">
        <x:v>59</x:v>
      </x:c>
      <x:c r="S195" s="56" t="n">
        <x:v>0.05</x:v>
      </x:c>
      <x:c r="T195" s="52" t="str">
        <x:v>#F59E0B</x:v>
      </x:c>
      <x:c r="U195" s="55" t="n">
        <x:v>0.55</x:v>
      </x:c>
      <x:c r="V195" s="58" t="n">
        <x:f>'Funding Categories'!L107</x:f>
        <x:v>0</x:v>
      </x:c>
      <x:c r="W195" s="52" t="str">
        <x:f>IF(V195&gt;0,"Yes","No")</x:f>
        <x:v>No</x:v>
      </x:c>
      <x:c r="X195" s="52" t="str">
        <x:v>accessible shuttles; temporary ramps and staffed assistance</x:v>
      </x:c>
      <x:c r="Y195" s="52" t="str">
        <x:v>concept_only</x:v>
      </x:c>
      <x:c r="Z195" s="52" t="str">
        <x:v>planning_anchor ±25–100 m</x:v>
      </x:c>
      <x:c r="AA195" s="52" t="str">
        <x:v>engineering_assumption</x:v>
      </x:c>
      <x:c r="AB195" s="52" t="str">
        <x:v>https://www.njtransit.com/meadowlands</x:v>
      </x:c>
    </x:row>
    <x:row r="196">
      <x:c r="A196" s="52" t="str">
        <x:v>nynj-access-PERM</x:v>
      </x:c>
      <x:c r="B196" s="52" t="n">
        <x:v>8</x:v>
      </x:c>
      <x:c r="C196" s="52" t="str">
        <x:v>nynj</x:v>
      </x:c>
      <x:c r="D196" s="52" t="str">
        <x:v>New York/New Jersey</x:v>
      </x:c>
      <x:c r="E196" s="52" t="str">
        <x:v>access</x:v>
      </x:c>
      <x:c r="F196" s="52" t="str">
        <x:v>ADA/microtransit access</x:v>
      </x:c>
      <x:c r="G196" s="52" t="str">
        <x:v>permanent</x:v>
      </x:c>
      <x:c r="H196" s="52" t="str">
        <x:v>nynj-meadowlands-station</x:v>
      </x:c>
      <x:c r="I196" s="52" t="str">
        <x:v>NYNJ-MRS</x:v>
      </x:c>
      <x:c r="J196" s="52" t="str">
        <x:v>Meadowlands Rail Station and aerial walkway</x:v>
      </x:c>
      <x:c r="K196" s="53" t="n">
        <x:v>40.807664</x:v>
      </x:c>
      <x:c r="L196" s="53" t="n">
        <x:v>-74.069833</x:v>
      </x:c>
      <x:c r="M196" s="56" t="n">
        <x:v>250</x:v>
      </x:c>
      <x:c r="N196" s="56" t="str">
        <x:v>line_extrusion</x:v>
      </x:c>
      <x:c r="O196" s="56" t="n">
        <x:v>800</x:v>
      </x:c>
      <x:c r="P196" s="56" t="n">
        <x:v>3</x:v>
      </x:c>
      <x:c r="Q196" s="56" t="n">
        <x:v>0.1</x:v>
      </x:c>
      <x:c r="R196" s="56" t="n">
        <x:v>66</x:v>
      </x:c>
      <x:c r="S196" s="56" t="n">
        <x:v>0.1</x:v>
      </x:c>
      <x:c r="T196" s="52" t="str">
        <x:v>#2563EB</x:v>
      </x:c>
      <x:c r="U196" s="55" t="n">
        <x:v>0.85</x:v>
      </x:c>
      <x:c r="V196" s="58" t="n">
        <x:f>'Funding Categories'!M107</x:f>
        <x:v>0</x:v>
      </x:c>
      <x:c r="W196" s="52" t="str">
        <x:f>IF(V196&gt;0,"Yes","No")</x:f>
        <x:v>No</x:v>
      </x:c>
      <x:c r="X196" s="52" t="str">
        <x:v>ADA ramps; tactile guidance; accessible first/last-mile network</x:v>
      </x:c>
      <x:c r="Y196" s="52" t="str">
        <x:v>concept_only</x:v>
      </x:c>
      <x:c r="Z196" s="52" t="str">
        <x:v>planning_anchor ±25–100 m</x:v>
      </x:c>
      <x:c r="AA196" s="52" t="str">
        <x:v>engineering_assumption</x:v>
      </x:c>
      <x:c r="AB196" s="52" t="str">
        <x:v>https://www.njtransit.com/meadowlands</x:v>
      </x:c>
    </x:row>
    <x:row r="197">
      <x:c r="A197" s="52" t="str">
        <x:v>philadelphia-service-TMP</x:v>
      </x:c>
      <x:c r="B197" s="52" t="n">
        <x:v>9</x:v>
      </x:c>
      <x:c r="C197" s="52" t="str">
        <x:v>philadelphia</x:v>
      </x:c>
      <x:c r="D197" s="52" t="str">
        <x:v>Philadelphia</x:v>
      </x:c>
      <x:c r="E197" s="52" t="str">
        <x:v>service</x:v>
      </x:c>
      <x:c r="F197" s="52" t="str">
        <x:v>Extra transit service</x:v>
      </x:c>
      <x:c r="G197" s="52" t="str">
        <x:v>temporary</x:v>
      </x:c>
      <x:c r="H197" s="52" t="str">
        <x:v>phi-nrg-station</x:v>
      </x:c>
      <x:c r="I197" s="52" t="str">
        <x:v>PHI-NRG</x:v>
      </x:c>
      <x:c r="J197" s="52" t="str">
        <x:v>NRG Station and Broad Street queue zone</x:v>
      </x:c>
      <x:c r="K197" s="53" t="n">
        <x:v>39.9047</x:v>
      </x:c>
      <x:c r="L197" s="53" t="n">
        <x:v>-75.1736</x:v>
      </x:c>
      <x:c r="M197" s="56" t="n">
        <x:v>250</x:v>
      </x:c>
      <x:c r="N197" s="56" t="str">
        <x:v>animated_route</x:v>
      </x:c>
      <x:c r="O197" s="56" t="n">
        <x:v>1500</x:v>
      </x:c>
      <x:c r="P197" s="56" t="n">
        <x:v>2</x:v>
      </x:c>
      <x:c r="Q197" s="56" t="n">
        <x:v>0.5</x:v>
      </x:c>
      <x:c r="R197" s="56" t="n">
        <x:v>261</x:v>
      </x:c>
      <x:c r="S197" s="56" t="n">
        <x:v>0.05</x:v>
      </x:c>
      <x:c r="T197" s="52" t="str">
        <x:v>#F59E0B</x:v>
      </x:c>
      <x:c r="U197" s="55" t="n">
        <x:v>0.55</x:v>
      </x:c>
      <x:c r="V197" s="58" t="n">
        <x:f>'Funding Categories'!L109</x:f>
        <x:v>1320000</x:v>
      </x:c>
      <x:c r="W197" s="52" t="str">
        <x:f>IF(V197&gt;0,"Yes","No")</x:f>
        <x:v>Yes</x:v>
      </x:c>
      <x:c r="X197" s="52" t="str">
        <x:v>extra rail/bus vehicle-hours; standby operators; event timetable</x:v>
      </x:c>
      <x:c r="Y197" s="52" t="str">
        <x:v>concept_only</x:v>
      </x:c>
      <x:c r="Z197" s="52" t="str">
        <x:v>planning_anchor ±25–100 m</x:v>
      </x:c>
      <x:c r="AA197" s="52" t="str">
        <x:v>engineering_assumption</x:v>
      </x:c>
      <x:c r="AB197" s="52" t="str">
        <x:v>https://wwww.septa.org/news/infrastructure-improvements-for-fifa/</x:v>
      </x:c>
    </x:row>
    <x:row r="198">
      <x:c r="A198" s="52" t="str">
        <x:v>philadelphia-service-PERM</x:v>
      </x:c>
      <x:c r="B198" s="52" t="n">
        <x:v>9</x:v>
      </x:c>
      <x:c r="C198" s="52" t="str">
        <x:v>philadelphia</x:v>
      </x:c>
      <x:c r="D198" s="52" t="str">
        <x:v>Philadelphia</x:v>
      </x:c>
      <x:c r="E198" s="52" t="str">
        <x:v>service</x:v>
      </x:c>
      <x:c r="F198" s="52" t="str">
        <x:v>Extra transit service</x:v>
      </x:c>
      <x:c r="G198" s="52" t="str">
        <x:v>permanent</x:v>
      </x:c>
      <x:c r="H198" s="52" t="str">
        <x:v>phi-nrg-station</x:v>
      </x:c>
      <x:c r="I198" s="52" t="str">
        <x:v>PHI-NRG</x:v>
      </x:c>
      <x:c r="J198" s="52" t="str">
        <x:v>NRG Station and Broad Street queue zone</x:v>
      </x:c>
      <x:c r="K198" s="53" t="n">
        <x:v>39.9047</x:v>
      </x:c>
      <x:c r="L198" s="53" t="n">
        <x:v>-75.1736</x:v>
      </x:c>
      <x:c r="M198" s="56" t="n">
        <x:v>250</x:v>
      </x:c>
      <x:c r="N198" s="56" t="str">
        <x:v>animated_route</x:v>
      </x:c>
      <x:c r="O198" s="56" t="n">
        <x:v>1500</x:v>
      </x:c>
      <x:c r="P198" s="56" t="n">
        <x:v>2</x:v>
      </x:c>
      <x:c r="Q198" s="56" t="n">
        <x:v>1</x:v>
      </x:c>
      <x:c r="R198" s="56" t="n">
        <x:v>268</x:v>
      </x:c>
      <x:c r="S198" s="56" t="n">
        <x:v>0.1</x:v>
      </x:c>
      <x:c r="T198" s="52" t="str">
        <x:v>#2563EB</x:v>
      </x:c>
      <x:c r="U198" s="55" t="n">
        <x:v>0.85</x:v>
      </x:c>
      <x:c r="V198" s="58" t="n">
        <x:f>'Funding Categories'!M109</x:f>
        <x:v>330000</x:v>
      </x:c>
      <x:c r="W198" s="52" t="str">
        <x:f>IF(V198&gt;0,"Yes","No")</x:f>
        <x:v>Yes</x:v>
      </x:c>
      <x:c r="X198" s="52" t="str">
        <x:v>recurring major-event service plan; fleet and stabling readiness</x:v>
      </x:c>
      <x:c r="Y198" s="52" t="str">
        <x:v>concept_only</x:v>
      </x:c>
      <x:c r="Z198" s="52" t="str">
        <x:v>planning_anchor ±25–100 m</x:v>
      </x:c>
      <x:c r="AA198" s="52" t="str">
        <x:v>engineering_assumption</x:v>
      </x:c>
      <x:c r="AB198" s="52" t="str">
        <x:v>https://wwww.septa.org/news/infrastructure-improvements-for-fifa/</x:v>
      </x:c>
    </x:row>
    <x:row r="199">
      <x:c r="A199" s="52" t="str">
        <x:v>philadelphia-buslane-TMP</x:v>
      </x:c>
      <x:c r="B199" s="52" t="n">
        <x:v>9</x:v>
      </x:c>
      <x:c r="C199" s="52" t="str">
        <x:v>philadelphia</x:v>
      </x:c>
      <x:c r="D199" s="52" t="str">
        <x:v>Philadelphia</x:v>
      </x:c>
      <x:c r="E199" s="52" t="str">
        <x:v>buslane</x:v>
      </x:c>
      <x:c r="F199" s="52" t="str">
        <x:v>Transit-priority lanes</x:v>
      </x:c>
      <x:c r="G199" s="52" t="str">
        <x:v>temporary</x:v>
      </x:c>
      <x:c r="H199" s="52" t="str">
        <x:v>phi-lots-de</x:v>
      </x:c>
      <x:c r="I199" s="52" t="str">
        <x:v>PHI-DE</x:v>
      </x:c>
      <x:c r="J199" s="52" t="str">
        <x:v>Lincoln Financial Field Lots D/E east approach</x:v>
      </x:c>
      <x:c r="K199" s="53" t="n">
        <x:v>39.90006</x:v>
      </x:c>
      <x:c r="L199" s="53" t="n">
        <x:v>-75.16965</x:v>
      </x:c>
      <x:c r="M199" s="56" t="n">
        <x:v>300</x:v>
      </x:c>
      <x:c r="N199" s="56" t="str">
        <x:v>line_extrusion</x:v>
      </x:c>
      <x:c r="O199" s="56" t="n">
        <x:v>3200</x:v>
      </x:c>
      <x:c r="P199" s="56" t="n">
        <x:v>3.5</x:v>
      </x:c>
      <x:c r="Q199" s="56" t="n">
        <x:v>0.1</x:v>
      </x:c>
      <x:c r="R199" s="56" t="n">
        <x:v>278</x:v>
      </x:c>
      <x:c r="S199" s="56" t="n">
        <x:v>0.05</x:v>
      </x:c>
      <x:c r="T199" s="52" t="str">
        <x:v>#F59E0B</x:v>
      </x:c>
      <x:c r="U199" s="55" t="n">
        <x:v>0.55</x:v>
      </x:c>
      <x:c r="V199" s="58" t="n">
        <x:f>'Funding Categories'!L110</x:f>
        <x:v>486000</x:v>
      </x:c>
      <x:c r="W199" s="52" t="str">
        <x:f>IF(V199&gt;0,"Yes","No")</x:f>
        <x:v>Yes</x:v>
      </x:c>
      <x:c r="X199" s="52" t="str">
        <x:v>cone- and paint-defined bus lane with enforcement</x:v>
      </x:c>
      <x:c r="Y199" s="52" t="str">
        <x:v>concept_only</x:v>
      </x:c>
      <x:c r="Z199" s="52" t="str">
        <x:v>planning_anchor ±25–100 m</x:v>
      </x:c>
      <x:c r="AA199" s="52" t="str">
        <x:v>engineering_assumption</x:v>
      </x:c>
      <x:c r="AB199" s="52" t="str">
        <x:v>https://www.lincolnfinancialfield.com/lots-de/</x:v>
      </x:c>
    </x:row>
    <x:row r="200">
      <x:c r="A200" s="52" t="str">
        <x:v>philadelphia-buslane-PERM</x:v>
      </x:c>
      <x:c r="B200" s="52" t="n">
        <x:v>9</x:v>
      </x:c>
      <x:c r="C200" s="52" t="str">
        <x:v>philadelphia</x:v>
      </x:c>
      <x:c r="D200" s="52" t="str">
        <x:v>Philadelphia</x:v>
      </x:c>
      <x:c r="E200" s="52" t="str">
        <x:v>buslane</x:v>
      </x:c>
      <x:c r="F200" s="52" t="str">
        <x:v>Transit-priority lanes</x:v>
      </x:c>
      <x:c r="G200" s="52" t="str">
        <x:v>permanent</x:v>
      </x:c>
      <x:c r="H200" s="52" t="str">
        <x:v>phi-lots-de</x:v>
      </x:c>
      <x:c r="I200" s="52" t="str">
        <x:v>PHI-DE</x:v>
      </x:c>
      <x:c r="J200" s="52" t="str">
        <x:v>Lincoln Financial Field Lots D/E east approach</x:v>
      </x:c>
      <x:c r="K200" s="53" t="n">
        <x:v>39.90006</x:v>
      </x:c>
      <x:c r="L200" s="53" t="n">
        <x:v>-75.16965</x:v>
      </x:c>
      <x:c r="M200" s="56" t="n">
        <x:v>300</x:v>
      </x:c>
      <x:c r="N200" s="56" t="str">
        <x:v>line_extrusion</x:v>
      </x:c>
      <x:c r="O200" s="56" t="n">
        <x:v>3200</x:v>
      </x:c>
      <x:c r="P200" s="56" t="n">
        <x:v>3.5</x:v>
      </x:c>
      <x:c r="Q200" s="56" t="n">
        <x:v>0.1</x:v>
      </x:c>
      <x:c r="R200" s="56" t="n">
        <x:v>285</x:v>
      </x:c>
      <x:c r="S200" s="56" t="n">
        <x:v>0.1</x:v>
      </x:c>
      <x:c r="T200" s="52" t="str">
        <x:v>#2563EB</x:v>
      </x:c>
      <x:c r="U200" s="55" t="n">
        <x:v>0.85</x:v>
      </x:c>
      <x:c r="V200" s="58" t="n">
        <x:f>'Funding Categories'!M110</x:f>
        <x:v>594000</x:v>
      </x:c>
      <x:c r="W200" s="52" t="str">
        <x:f>IF(V200&gt;0,"Yes","No")</x:f>
        <x:v>Yes</x:v>
      </x:c>
      <x:c r="X200" s="52" t="str">
        <x:v>dedicated or peak-period transit-priority lane</x:v>
      </x:c>
      <x:c r="Y200" s="52" t="str">
        <x:v>concept_only</x:v>
      </x:c>
      <x:c r="Z200" s="52" t="str">
        <x:v>planning_anchor ±25–100 m</x:v>
      </x:c>
      <x:c r="AA200" s="52" t="str">
        <x:v>engineering_assumption</x:v>
      </x:c>
      <x:c r="AB200" s="52" t="str">
        <x:v>https://www.lincolnfinancialfield.com/lots-de/</x:v>
      </x:c>
    </x:row>
    <x:row r="201">
      <x:c r="A201" s="52" t="str">
        <x:v>philadelphia-signals-TMP</x:v>
      </x:c>
      <x:c r="B201" s="52" t="n">
        <x:v>9</x:v>
      </x:c>
      <x:c r="C201" s="52" t="str">
        <x:v>philadelphia</x:v>
      </x:c>
      <x:c r="D201" s="52" t="str">
        <x:v>Philadelphia</x:v>
      </x:c>
      <x:c r="E201" s="52" t="str">
        <x:v>signals</x:v>
      </x:c>
      <x:c r="F201" s="52" t="str">
        <x:v>Signal timing plans</x:v>
      </x:c>
      <x:c r="G201" s="52" t="str">
        <x:v>temporary</x:v>
      </x:c>
      <x:c r="H201" s="52" t="str">
        <x:v>phi-lots-de</x:v>
      </x:c>
      <x:c r="I201" s="52" t="str">
        <x:v>PHI-DE</x:v>
      </x:c>
      <x:c r="J201" s="52" t="str">
        <x:v>Lincoln Financial Field Lots D/E east approach</x:v>
      </x:c>
      <x:c r="K201" s="53" t="n">
        <x:v>39.90006</x:v>
      </x:c>
      <x:c r="L201" s="53" t="n">
        <x:v>-75.16965</x:v>
      </x:c>
      <x:c r="M201" s="56" t="n">
        <x:v>300</x:v>
      </x:c>
      <x:c r="N201" s="56" t="str">
        <x:v>point_model</x:v>
      </x:c>
      <x:c r="O201" s="56" t="n">
        <x:v>1</x:v>
      </x:c>
      <x:c r="P201" s="56" t="n">
        <x:v>1</x:v>
      </x:c>
      <x:c r="Q201" s="56" t="n">
        <x:v>3</x:v>
      </x:c>
      <x:c r="R201" s="56" t="n">
        <x:v>295</x:v>
      </x:c>
      <x:c r="S201" s="56" t="n">
        <x:v>0.05</x:v>
      </x:c>
      <x:c r="T201" s="52" t="str">
        <x:v>#F59E0B</x:v>
      </x:c>
      <x:c r="U201" s="55" t="n">
        <x:v>0.55</x:v>
      </x:c>
      <x:c r="V201" s="58" t="n">
        <x:f>'Funding Categories'!L111</x:f>
        <x:v>67500</x:v>
      </x:c>
      <x:c r="W201" s="52" t="str">
        <x:f>IF(V201&gt;0,"Yes","No")</x:f>
        <x:v>Yes</x:v>
      </x:c>
      <x:c r="X201" s="52" t="str">
        <x:v>police/manual traffic control and temporary timing plan</x:v>
      </x:c>
      <x:c r="Y201" s="52" t="str">
        <x:v>concept_only</x:v>
      </x:c>
      <x:c r="Z201" s="52" t="str">
        <x:v>planning_anchor ±25–100 m</x:v>
      </x:c>
      <x:c r="AA201" s="52" t="str">
        <x:v>engineering_assumption</x:v>
      </x:c>
      <x:c r="AB201" s="52" t="str">
        <x:v>https://www.lincolnfinancialfield.com/lots-de/</x:v>
      </x:c>
    </x:row>
    <x:row r="202">
      <x:c r="A202" s="52" t="str">
        <x:v>philadelphia-signals-PERM</x:v>
      </x:c>
      <x:c r="B202" s="52" t="n">
        <x:v>9</x:v>
      </x:c>
      <x:c r="C202" s="52" t="str">
        <x:v>philadelphia</x:v>
      </x:c>
      <x:c r="D202" s="52" t="str">
        <x:v>Philadelphia</x:v>
      </x:c>
      <x:c r="E202" s="52" t="str">
        <x:v>signals</x:v>
      </x:c>
      <x:c r="F202" s="52" t="str">
        <x:v>Signal timing plans</x:v>
      </x:c>
      <x:c r="G202" s="52" t="str">
        <x:v>permanent</x:v>
      </x:c>
      <x:c r="H202" s="52" t="str">
        <x:v>phi-lots-de</x:v>
      </x:c>
      <x:c r="I202" s="52" t="str">
        <x:v>PHI-DE</x:v>
      </x:c>
      <x:c r="J202" s="52" t="str">
        <x:v>Lincoln Financial Field Lots D/E east approach</x:v>
      </x:c>
      <x:c r="K202" s="53" t="n">
        <x:v>39.90006</x:v>
      </x:c>
      <x:c r="L202" s="53" t="n">
        <x:v>-75.16965</x:v>
      </x:c>
      <x:c r="M202" s="56" t="n">
        <x:v>300</x:v>
      </x:c>
      <x:c r="N202" s="56" t="str">
        <x:v>point_model</x:v>
      </x:c>
      <x:c r="O202" s="56" t="n">
        <x:v>1</x:v>
      </x:c>
      <x:c r="P202" s="56" t="n">
        <x:v>1</x:v>
      </x:c>
      <x:c r="Q202" s="56" t="n">
        <x:v>6</x:v>
      </x:c>
      <x:c r="R202" s="56" t="n">
        <x:v>302</x:v>
      </x:c>
      <x:c r="S202" s="56" t="n">
        <x:v>0.1</x:v>
      </x:c>
      <x:c r="T202" s="52" t="str">
        <x:v>#2563EB</x:v>
      </x:c>
      <x:c r="U202" s="55" t="n">
        <x:v>0.85</x:v>
      </x:c>
      <x:c r="V202" s="58" t="n">
        <x:f>'Funding Categories'!M111</x:f>
        <x:v>202500</x:v>
      </x:c>
      <x:c r="W202" s="52" t="str">
        <x:f>IF(V202&gt;0,"Yes","No")</x:f>
        <x:v>Yes</x:v>
      </x:c>
      <x:c r="X202" s="52" t="str">
        <x:v>adaptive controllers and transit signal priority</x:v>
      </x:c>
      <x:c r="Y202" s="52" t="str">
        <x:v>concept_only</x:v>
      </x:c>
      <x:c r="Z202" s="52" t="str">
        <x:v>planning_anchor ±25–100 m</x:v>
      </x:c>
      <x:c r="AA202" s="52" t="str">
        <x:v>engineering_assumption</x:v>
      </x:c>
      <x:c r="AB202" s="52" t="str">
        <x:v>https://www.lincolnfinancialfield.com/lots-de/</x:v>
      </x:c>
    </x:row>
    <x:row r="203">
      <x:c r="A203" s="52" t="str">
        <x:v>philadelphia-hub-TMP</x:v>
      </x:c>
      <x:c r="B203" s="52" t="n">
        <x:v>9</x:v>
      </x:c>
      <x:c r="C203" s="52" t="str">
        <x:v>philadelphia</x:v>
      </x:c>
      <x:c r="D203" s="52" t="str">
        <x:v>Philadelphia</x:v>
      </x:c>
      <x:c r="E203" s="52" t="str">
        <x:v>hub</x:v>
      </x:c>
      <x:c r="F203" s="52" t="str">
        <x:v>Hub-to-stadium shuttle package</x:v>
      </x:c>
      <x:c r="G203" s="52" t="str">
        <x:v>temporary</x:v>
      </x:c>
      <x:c r="H203" s="52" t="str">
        <x:v>phi-lots-de</x:v>
      </x:c>
      <x:c r="I203" s="52" t="str">
        <x:v>PHI-DE</x:v>
      </x:c>
      <x:c r="J203" s="52" t="str">
        <x:v>Lincoln Financial Field Lots D/E east approach</x:v>
      </x:c>
      <x:c r="K203" s="53" t="n">
        <x:v>39.90006</x:v>
      </x:c>
      <x:c r="L203" s="53" t="n">
        <x:v>-75.16965</x:v>
      </x:c>
      <x:c r="M203" s="56" t="n">
        <x:v>300</x:v>
      </x:c>
      <x:c r="N203" s="56" t="str">
        <x:v>polygon_extrusion</x:v>
      </x:c>
      <x:c r="O203" s="56" t="n">
        <x:v>90</x:v>
      </x:c>
      <x:c r="P203" s="56" t="n">
        <x:v>60</x:v>
      </x:c>
      <x:c r="Q203" s="56" t="n">
        <x:v>3</x:v>
      </x:c>
      <x:c r="R203" s="56" t="n">
        <x:v>312</x:v>
      </x:c>
      <x:c r="S203" s="56" t="n">
        <x:v>0.05</x:v>
      </x:c>
      <x:c r="T203" s="52" t="str">
        <x:v>#F59E0B</x:v>
      </x:c>
      <x:c r="U203" s="55" t="n">
        <x:v>0.55</x:v>
      </x:c>
      <x:c r="V203" s="58" t="n">
        <x:f>'Funding Categories'!L112</x:f>
        <x:v>300000</x:v>
      </x:c>
      <x:c r="W203" s="52" t="str">
        <x:f>IF(V203&gt;0,"Yes","No")</x:f>
        <x:v>Yes</x:v>
      </x:c>
      <x:c r="X203" s="52" t="str">
        <x:v>pop-up shuttle zone; temporary shelters and dispatch</x:v>
      </x:c>
      <x:c r="Y203" s="52" t="str">
        <x:v>concept_only</x:v>
      </x:c>
      <x:c r="Z203" s="52" t="str">
        <x:v>planning_anchor ±25–100 m</x:v>
      </x:c>
      <x:c r="AA203" s="52" t="str">
        <x:v>engineering_assumption</x:v>
      </x:c>
      <x:c r="AB203" s="52" t="str">
        <x:v>https://www.lincolnfinancialfield.com/lots-de/</x:v>
      </x:c>
    </x:row>
    <x:row r="204">
      <x:c r="A204" s="52" t="str">
        <x:v>philadelphia-hub-PERM</x:v>
      </x:c>
      <x:c r="B204" s="52" t="n">
        <x:v>9</x:v>
      </x:c>
      <x:c r="C204" s="52" t="str">
        <x:v>philadelphia</x:v>
      </x:c>
      <x:c r="D204" s="52" t="str">
        <x:v>Philadelphia</x:v>
      </x:c>
      <x:c r="E204" s="52" t="str">
        <x:v>hub</x:v>
      </x:c>
      <x:c r="F204" s="52" t="str">
        <x:v>Hub-to-stadium shuttle package</x:v>
      </x:c>
      <x:c r="G204" s="52" t="str">
        <x:v>permanent</x:v>
      </x:c>
      <x:c r="H204" s="52" t="str">
        <x:v>phi-lots-de</x:v>
      </x:c>
      <x:c r="I204" s="52" t="str">
        <x:v>PHI-DE</x:v>
      </x:c>
      <x:c r="J204" s="52" t="str">
        <x:v>Lincoln Financial Field Lots D/E east approach</x:v>
      </x:c>
      <x:c r="K204" s="53" t="n">
        <x:v>39.90006</x:v>
      </x:c>
      <x:c r="L204" s="53" t="n">
        <x:v>-75.16965</x:v>
      </x:c>
      <x:c r="M204" s="56" t="n">
        <x:v>300</x:v>
      </x:c>
      <x:c r="N204" s="56" t="str">
        <x:v>polygon_extrusion</x:v>
      </x:c>
      <x:c r="O204" s="56" t="n">
        <x:v>90</x:v>
      </x:c>
      <x:c r="P204" s="56" t="n">
        <x:v>60</x:v>
      </x:c>
      <x:c r="Q204" s="56" t="n">
        <x:v>6</x:v>
      </x:c>
      <x:c r="R204" s="56" t="n">
        <x:v>319</x:v>
      </x:c>
      <x:c r="S204" s="56" t="n">
        <x:v>0.1</x:v>
      </x:c>
      <x:c r="T204" s="52" t="str">
        <x:v>#2563EB</x:v>
      </x:c>
      <x:c r="U204" s="55" t="n">
        <x:v>0.85</x:v>
      </x:c>
      <x:c r="V204" s="58" t="n">
        <x:f>'Funding Categories'!M112</x:f>
        <x:v>450000</x:v>
      </x:c>
      <x:c r="W204" s="52" t="str">
        <x:f>IF(V204&gt;0,"Yes","No")</x:f>
        <x:v>Yes</x:v>
      </x:c>
      <x:c r="X204" s="52" t="str">
        <x:v>permanent multimodal mobility hub</x:v>
      </x:c>
      <x:c r="Y204" s="52" t="str">
        <x:v>concept_only</x:v>
      </x:c>
      <x:c r="Z204" s="52" t="str">
        <x:v>planning_anchor ±25–100 m</x:v>
      </x:c>
      <x:c r="AA204" s="52" t="str">
        <x:v>engineering_assumption</x:v>
      </x:c>
      <x:c r="AB204" s="52" t="str">
        <x:v>https://www.lincolnfinancialfield.com/lots-de/</x:v>
      </x:c>
    </x:row>
    <x:row r="205">
      <x:c r="A205" s="52" t="str">
        <x:v>philadelphia-parkride-TMP</x:v>
      </x:c>
      <x:c r="B205" s="52" t="n">
        <x:v>9</x:v>
      </x:c>
      <x:c r="C205" s="52" t="str">
        <x:v>philadelphia</x:v>
      </x:c>
      <x:c r="D205" s="52" t="str">
        <x:v>Philadelphia</x:v>
      </x:c>
      <x:c r="E205" s="52" t="str">
        <x:v>parkride</x:v>
      </x:c>
      <x:c r="F205" s="52" t="str">
        <x:v>Park-and-ride package</x:v>
      </x:c>
      <x:c r="G205" s="52" t="str">
        <x:v>temporary</x:v>
      </x:c>
      <x:c r="H205" s="52" t="str">
        <x:v>phi-lots-de</x:v>
      </x:c>
      <x:c r="I205" s="52" t="str">
        <x:v>PHI-DE</x:v>
      </x:c>
      <x:c r="J205" s="52" t="str">
        <x:v>Lincoln Financial Field Lots D/E east approach</x:v>
      </x:c>
      <x:c r="K205" s="53" t="n">
        <x:v>39.90006</x:v>
      </x:c>
      <x:c r="L205" s="53" t="n">
        <x:v>-75.16965</x:v>
      </x:c>
      <x:c r="M205" s="56" t="n">
        <x:v>300</x:v>
      </x:c>
      <x:c r="N205" s="56" t="str">
        <x:v>polygon_extrusion</x:v>
      </x:c>
      <x:c r="O205" s="56" t="n">
        <x:v>220</x:v>
      </x:c>
      <x:c r="P205" s="56" t="n">
        <x:v>150</x:v>
      </x:c>
      <x:c r="Q205" s="56" t="n">
        <x:v>0.2</x:v>
      </x:c>
      <x:c r="R205" s="56" t="n">
        <x:v>329</x:v>
      </x:c>
      <x:c r="S205" s="56" t="n">
        <x:v>0.05</x:v>
      </x:c>
      <x:c r="T205" s="52" t="str">
        <x:v>#F59E0B</x:v>
      </x:c>
      <x:c r="U205" s="55" t="n">
        <x:v>0.55</x:v>
      </x:c>
      <x:c r="V205" s="58" t="n">
        <x:f>'Funding Categories'!L113</x:f>
        <x:v>0</x:v>
      </x:c>
      <x:c r="W205" s="52" t="str">
        <x:f>IF(V205&gt;0,"Yes","No")</x:f>
        <x:v>No</x:v>
      </x:c>
      <x:c r="X205" s="52" t="str">
        <x:v>leased intercept lots and temporary signing</x:v>
      </x:c>
      <x:c r="Y205" s="52" t="str">
        <x:v>concept_only</x:v>
      </x:c>
      <x:c r="Z205" s="52" t="str">
        <x:v>planning_anchor ±25–100 m</x:v>
      </x:c>
      <x:c r="AA205" s="52" t="str">
        <x:v>engineering_assumption</x:v>
      </x:c>
      <x:c r="AB205" s="52" t="str">
        <x:v>https://www.lincolnfinancialfield.com/lots-de/</x:v>
      </x:c>
    </x:row>
    <x:row r="206">
      <x:c r="A206" s="52" t="str">
        <x:v>philadelphia-parkride-PERM</x:v>
      </x:c>
      <x:c r="B206" s="52" t="n">
        <x:v>9</x:v>
      </x:c>
      <x:c r="C206" s="52" t="str">
        <x:v>philadelphia</x:v>
      </x:c>
      <x:c r="D206" s="52" t="str">
        <x:v>Philadelphia</x:v>
      </x:c>
      <x:c r="E206" s="52" t="str">
        <x:v>parkride</x:v>
      </x:c>
      <x:c r="F206" s="52" t="str">
        <x:v>Park-and-ride package</x:v>
      </x:c>
      <x:c r="G206" s="52" t="str">
        <x:v>permanent</x:v>
      </x:c>
      <x:c r="H206" s="52" t="str">
        <x:v>phi-lots-de</x:v>
      </x:c>
      <x:c r="I206" s="52" t="str">
        <x:v>PHI-DE</x:v>
      </x:c>
      <x:c r="J206" s="52" t="str">
        <x:v>Lincoln Financial Field Lots D/E east approach</x:v>
      </x:c>
      <x:c r="K206" s="53" t="n">
        <x:v>39.90006</x:v>
      </x:c>
      <x:c r="L206" s="53" t="n">
        <x:v>-75.16965</x:v>
      </x:c>
      <x:c r="M206" s="56" t="n">
        <x:v>300</x:v>
      </x:c>
      <x:c r="N206" s="56" t="str">
        <x:v>polygon_extrusion</x:v>
      </x:c>
      <x:c r="O206" s="56" t="n">
        <x:v>220</x:v>
      </x:c>
      <x:c r="P206" s="56" t="n">
        <x:v>150</x:v>
      </x:c>
      <x:c r="Q206" s="56" t="n">
        <x:v>0.2</x:v>
      </x:c>
      <x:c r="R206" s="56" t="n">
        <x:v>336</x:v>
      </x:c>
      <x:c r="S206" s="56" t="n">
        <x:v>0.1</x:v>
      </x:c>
      <x:c r="T206" s="52" t="str">
        <x:v>#2563EB</x:v>
      </x:c>
      <x:c r="U206" s="55" t="n">
        <x:v>0.85</x:v>
      </x:c>
      <x:c r="V206" s="58" t="n">
        <x:f>'Funding Categories'!M113</x:f>
        <x:v>0</x:v>
      </x:c>
      <x:c r="W206" s="52" t="str">
        <x:f>IF(V206&gt;0,"Yes","No")</x:f>
        <x:v>No</x:v>
      </x:c>
      <x:c r="X206" s="52" t="str">
        <x:v>permanent park-and-ride with charging and transit access</x:v>
      </x:c>
      <x:c r="Y206" s="52" t="str">
        <x:v>concept_only</x:v>
      </x:c>
      <x:c r="Z206" s="52" t="str">
        <x:v>planning_anchor ±25–100 m</x:v>
      </x:c>
      <x:c r="AA206" s="52" t="str">
        <x:v>engineering_assumption</x:v>
      </x:c>
      <x:c r="AB206" s="52" t="str">
        <x:v>https://www.lincolnfinancialfield.com/lots-de/</x:v>
      </x:c>
    </x:row>
    <x:row r="207">
      <x:c r="A207" s="52" t="str">
        <x:v>philadelphia-ped-TMP</x:v>
      </x:c>
      <x:c r="B207" s="52" t="n">
        <x:v>9</x:v>
      </x:c>
      <x:c r="C207" s="52" t="str">
        <x:v>philadelphia</x:v>
      </x:c>
      <x:c r="D207" s="52" t="str">
        <x:v>Philadelphia</x:v>
      </x:c>
      <x:c r="E207" s="52" t="str">
        <x:v>ped</x:v>
      </x:c>
      <x:c r="F207" s="52" t="str">
        <x:v>Protected pedestrian corridor</x:v>
      </x:c>
      <x:c r="G207" s="52" t="str">
        <x:v>temporary</x:v>
      </x:c>
      <x:c r="H207" s="52" t="str">
        <x:v>phi-nrg-station</x:v>
      </x:c>
      <x:c r="I207" s="52" t="str">
        <x:v>PHI-NRG</x:v>
      </x:c>
      <x:c r="J207" s="52" t="str">
        <x:v>NRG Station and Broad Street queue zone</x:v>
      </x:c>
      <x:c r="K207" s="53" t="n">
        <x:v>39.9047</x:v>
      </x:c>
      <x:c r="L207" s="53" t="n">
        <x:v>-75.1736</x:v>
      </x:c>
      <x:c r="M207" s="56" t="n">
        <x:v>250</x:v>
      </x:c>
      <x:c r="N207" s="56" t="str">
        <x:v>line_extrusion</x:v>
      </x:c>
      <x:c r="O207" s="56" t="n">
        <x:v>1600</x:v>
      </x:c>
      <x:c r="P207" s="56" t="n">
        <x:v>6</x:v>
      </x:c>
      <x:c r="Q207" s="56" t="n">
        <x:v>0.15</x:v>
      </x:c>
      <x:c r="R207" s="56" t="n">
        <x:v>346</x:v>
      </x:c>
      <x:c r="S207" s="56" t="n">
        <x:v>0.05</x:v>
      </x:c>
      <x:c r="T207" s="52" t="str">
        <x:v>#F59E0B</x:v>
      </x:c>
      <x:c r="U207" s="55" t="n">
        <x:v>0.55</x:v>
      </x:c>
      <x:c r="V207" s="58" t="n">
        <x:f>'Funding Categories'!L114</x:f>
        <x:v>0</x:v>
      </x:c>
      <x:c r="W207" s="52" t="str">
        <x:f>IF(V207&gt;0,"Yes","No")</x:f>
        <x:v>No</x:v>
      </x:c>
      <x:c r="X207" s="52" t="str">
        <x:v>barricaded protected corridor; marshals and lighting</x:v>
      </x:c>
      <x:c r="Y207" s="52" t="str">
        <x:v>concept_only</x:v>
      </x:c>
      <x:c r="Z207" s="52" t="str">
        <x:v>planning_anchor ±25–100 m</x:v>
      </x:c>
      <x:c r="AA207" s="52" t="str">
        <x:v>engineering_assumption</x:v>
      </x:c>
      <x:c r="AB207" s="52" t="str">
        <x:v>https://wwww.septa.org/news/infrastructure-improvements-for-fifa/</x:v>
      </x:c>
    </x:row>
    <x:row r="208">
      <x:c r="A208" s="52" t="str">
        <x:v>philadelphia-ped-PERM</x:v>
      </x:c>
      <x:c r="B208" s="52" t="n">
        <x:v>9</x:v>
      </x:c>
      <x:c r="C208" s="52" t="str">
        <x:v>philadelphia</x:v>
      </x:c>
      <x:c r="D208" s="52" t="str">
        <x:v>Philadelphia</x:v>
      </x:c>
      <x:c r="E208" s="52" t="str">
        <x:v>ped</x:v>
      </x:c>
      <x:c r="F208" s="52" t="str">
        <x:v>Protected pedestrian corridor</x:v>
      </x:c>
      <x:c r="G208" s="52" t="str">
        <x:v>permanent</x:v>
      </x:c>
      <x:c r="H208" s="52" t="str">
        <x:v>phi-nrg-station</x:v>
      </x:c>
      <x:c r="I208" s="52" t="str">
        <x:v>PHI-NRG</x:v>
      </x:c>
      <x:c r="J208" s="52" t="str">
        <x:v>NRG Station and Broad Street queue zone</x:v>
      </x:c>
      <x:c r="K208" s="53" t="n">
        <x:v>39.9047</x:v>
      </x:c>
      <x:c r="L208" s="53" t="n">
        <x:v>-75.1736</x:v>
      </x:c>
      <x:c r="M208" s="56" t="n">
        <x:v>250</x:v>
      </x:c>
      <x:c r="N208" s="56" t="str">
        <x:v>line_extrusion</x:v>
      </x:c>
      <x:c r="O208" s="56" t="n">
        <x:v>1600</x:v>
      </x:c>
      <x:c r="P208" s="56" t="n">
        <x:v>6</x:v>
      </x:c>
      <x:c r="Q208" s="56" t="n">
        <x:v>0.15</x:v>
      </x:c>
      <x:c r="R208" s="56" t="n">
        <x:v>353</x:v>
      </x:c>
      <x:c r="S208" s="56" t="n">
        <x:v>0.1</x:v>
      </x:c>
      <x:c r="T208" s="52" t="str">
        <x:v>#0F766E</x:v>
      </x:c>
      <x:c r="U208" s="55" t="n">
        <x:v>0.85</x:v>
      </x:c>
      <x:c r="V208" s="58" t="n">
        <x:f>'Funding Categories'!M114</x:f>
        <x:v>0</x:v>
      </x:c>
      <x:c r="W208" s="52" t="str">
        <x:f>IF(V208&gt;0,"Yes","No")</x:f>
        <x:v>No</x:v>
      </x:c>
      <x:c r="X208" s="52" t="str">
        <x:v>widened sidewalk; lighting; drainage and separation</x:v>
      </x:c>
      <x:c r="Y208" s="52" t="str">
        <x:v>concept_only</x:v>
      </x:c>
      <x:c r="Z208" s="52" t="str">
        <x:v>planning_anchor ±25–100 m</x:v>
      </x:c>
      <x:c r="AA208" s="52" t="str">
        <x:v>engineering_assumption</x:v>
      </x:c>
      <x:c r="AB208" s="52" t="str">
        <x:v>https://wwww.septa.org/news/infrastructure-improvements-for-fifa/</x:v>
      </x:c>
    </x:row>
    <x:row r="209">
      <x:c r="A209" s="52" t="str">
        <x:v>philadelphia-bike-TMP</x:v>
      </x:c>
      <x:c r="B209" s="52" t="n">
        <x:v>9</x:v>
      </x:c>
      <x:c r="C209" s="52" t="str">
        <x:v>philadelphia</x:v>
      </x:c>
      <x:c r="D209" s="52" t="str">
        <x:v>Philadelphia</x:v>
      </x:c>
      <x:c r="E209" s="52" t="str">
        <x:v>bike</x:v>
      </x:c>
      <x:c r="F209" s="52" t="str">
        <x:v>Protected bicycle access</x:v>
      </x:c>
      <x:c r="G209" s="52" t="str">
        <x:v>temporary</x:v>
      </x:c>
      <x:c r="H209" s="52" t="str">
        <x:v>phi-nrg-station</x:v>
      </x:c>
      <x:c r="I209" s="52" t="str">
        <x:v>PHI-NRG</x:v>
      </x:c>
      <x:c r="J209" s="52" t="str">
        <x:v>NRG Station and Broad Street queue zone</x:v>
      </x:c>
      <x:c r="K209" s="53" t="n">
        <x:v>39.9047</x:v>
      </x:c>
      <x:c r="L209" s="53" t="n">
        <x:v>-75.1736</x:v>
      </x:c>
      <x:c r="M209" s="56" t="n">
        <x:v>250</x:v>
      </x:c>
      <x:c r="N209" s="56" t="str">
        <x:v>line_extrusion</x:v>
      </x:c>
      <x:c r="O209" s="56" t="n">
        <x:v>3200</x:v>
      </x:c>
      <x:c r="P209" s="56" t="n">
        <x:v>3</x:v>
      </x:c>
      <x:c r="Q209" s="56" t="n">
        <x:v>0.1</x:v>
      </x:c>
      <x:c r="R209" s="56" t="n">
        <x:v>3</x:v>
      </x:c>
      <x:c r="S209" s="56" t="n">
        <x:v>0.05</x:v>
      </x:c>
      <x:c r="T209" s="52" t="str">
        <x:v>#F59E0B</x:v>
      </x:c>
      <x:c r="U209" s="55" t="n">
        <x:v>0.55</x:v>
      </x:c>
      <x:c r="V209" s="58" t="n">
        <x:f>'Funding Categories'!L115</x:f>
        <x:v>0</x:v>
      </x:c>
      <x:c r="W209" s="52" t="str">
        <x:f>IF(V209&gt;0,"Yes","No")</x:f>
        <x:v>No</x:v>
      </x:c>
      <x:c r="X209" s="52" t="str">
        <x:v>pop-up protected lane and attended bike valet</x:v>
      </x:c>
      <x:c r="Y209" s="52" t="str">
        <x:v>concept_only</x:v>
      </x:c>
      <x:c r="Z209" s="52" t="str">
        <x:v>planning_anchor ±25–100 m</x:v>
      </x:c>
      <x:c r="AA209" s="52" t="str">
        <x:v>engineering_assumption</x:v>
      </x:c>
      <x:c r="AB209" s="52" t="str">
        <x:v>https://wwww.septa.org/news/infrastructure-improvements-for-fifa/</x:v>
      </x:c>
    </x:row>
    <x:row r="210">
      <x:c r="A210" s="52" t="str">
        <x:v>philadelphia-bike-PERM</x:v>
      </x:c>
      <x:c r="B210" s="52" t="n">
        <x:v>9</x:v>
      </x:c>
      <x:c r="C210" s="52" t="str">
        <x:v>philadelphia</x:v>
      </x:c>
      <x:c r="D210" s="52" t="str">
        <x:v>Philadelphia</x:v>
      </x:c>
      <x:c r="E210" s="52" t="str">
        <x:v>bike</x:v>
      </x:c>
      <x:c r="F210" s="52" t="str">
        <x:v>Protected bicycle access</x:v>
      </x:c>
      <x:c r="G210" s="52" t="str">
        <x:v>permanent</x:v>
      </x:c>
      <x:c r="H210" s="52" t="str">
        <x:v>phi-nrg-station</x:v>
      </x:c>
      <x:c r="I210" s="52" t="str">
        <x:v>PHI-NRG</x:v>
      </x:c>
      <x:c r="J210" s="52" t="str">
        <x:v>NRG Station and Broad Street queue zone</x:v>
      </x:c>
      <x:c r="K210" s="53" t="n">
        <x:v>39.9047</x:v>
      </x:c>
      <x:c r="L210" s="53" t="n">
        <x:v>-75.1736</x:v>
      </x:c>
      <x:c r="M210" s="56" t="n">
        <x:v>250</x:v>
      </x:c>
      <x:c r="N210" s="56" t="str">
        <x:v>line_extrusion</x:v>
      </x:c>
      <x:c r="O210" s="56" t="n">
        <x:v>3200</x:v>
      </x:c>
      <x:c r="P210" s="56" t="n">
        <x:v>3</x:v>
      </x:c>
      <x:c r="Q210" s="56" t="n">
        <x:v>0.1</x:v>
      </x:c>
      <x:c r="R210" s="56" t="n">
        <x:v>10</x:v>
      </x:c>
      <x:c r="S210" s="56" t="n">
        <x:v>0.1</x:v>
      </x:c>
      <x:c r="T210" s="52" t="str">
        <x:v>#0F766E</x:v>
      </x:c>
      <x:c r="U210" s="55" t="n">
        <x:v>0.85</x:v>
      </x:c>
      <x:c r="V210" s="58" t="n">
        <x:f>'Funding Categories'!M115</x:f>
        <x:v>0</x:v>
      </x:c>
      <x:c r="W210" s="52" t="str">
        <x:f>IF(V210&gt;0,"Yes","No")</x:f>
        <x:v>No</x:v>
      </x:c>
      <x:c r="X210" s="52" t="str">
        <x:v>protected bikeway and secure long-term parking</x:v>
      </x:c>
      <x:c r="Y210" s="52" t="str">
        <x:v>concept_only</x:v>
      </x:c>
      <x:c r="Z210" s="52" t="str">
        <x:v>planning_anchor ±25–100 m</x:v>
      </x:c>
      <x:c r="AA210" s="52" t="str">
        <x:v>engineering_assumption</x:v>
      </x:c>
      <x:c r="AB210" s="52" t="str">
        <x:v>https://wwww.septa.org/news/infrastructure-improvements-for-fifa/</x:v>
      </x:c>
    </x:row>
    <x:row r="211">
      <x:c r="A211" s="52" t="str">
        <x:v>philadelphia-tnc-TMP</x:v>
      </x:c>
      <x:c r="B211" s="52" t="n">
        <x:v>9</x:v>
      </x:c>
      <x:c r="C211" s="52" t="str">
        <x:v>philadelphia</x:v>
      </x:c>
      <x:c r="D211" s="52" t="str">
        <x:v>Philadelphia</x:v>
      </x:c>
      <x:c r="E211" s="52" t="str">
        <x:v>tnc</x:v>
      </x:c>
      <x:c r="F211" s="52" t="str">
        <x:v>Managed rideshare hub</x:v>
      </x:c>
      <x:c r="G211" s="52" t="str">
        <x:v>temporary</x:v>
      </x:c>
      <x:c r="H211" s="52" t="str">
        <x:v>phi-lots-de</x:v>
      </x:c>
      <x:c r="I211" s="52" t="str">
        <x:v>PHI-DE</x:v>
      </x:c>
      <x:c r="J211" s="52" t="str">
        <x:v>Lincoln Financial Field Lots D/E east approach</x:v>
      </x:c>
      <x:c r="K211" s="53" t="n">
        <x:v>39.90006</x:v>
      </x:c>
      <x:c r="L211" s="53" t="n">
        <x:v>-75.16965</x:v>
      </x:c>
      <x:c r="M211" s="56" t="n">
        <x:v>300</x:v>
      </x:c>
      <x:c r="N211" s="56" t="str">
        <x:v>polygon_extrusion</x:v>
      </x:c>
      <x:c r="O211" s="56" t="n">
        <x:v>70</x:v>
      </x:c>
      <x:c r="P211" s="56" t="n">
        <x:v>45</x:v>
      </x:c>
      <x:c r="Q211" s="56" t="n">
        <x:v>0.2</x:v>
      </x:c>
      <x:c r="R211" s="56" t="n">
        <x:v>20</x:v>
      </x:c>
      <x:c r="S211" s="56" t="n">
        <x:v>0.05</x:v>
      </x:c>
      <x:c r="T211" s="52" t="str">
        <x:v>#F59E0B</x:v>
      </x:c>
      <x:c r="U211" s="55" t="n">
        <x:v>0.55</x:v>
      </x:c>
      <x:c r="V211" s="58" t="n">
        <x:f>'Funding Categories'!L116</x:f>
        <x:v>200000</x:v>
      </x:c>
      <x:c r="W211" s="52" t="str">
        <x:f>IF(V211&gt;0,"Yes","No")</x:f>
        <x:v>Yes</x:v>
      </x:c>
      <x:c r="X211" s="52" t="str">
        <x:v>staffed geofenced pickup with temporary lane control</x:v>
      </x:c>
      <x:c r="Y211" s="52" t="str">
        <x:v>concept_only</x:v>
      </x:c>
      <x:c r="Z211" s="52" t="str">
        <x:v>planning_anchor ±25–100 m</x:v>
      </x:c>
      <x:c r="AA211" s="52" t="str">
        <x:v>engineering_assumption</x:v>
      </x:c>
      <x:c r="AB211" s="52" t="str">
        <x:v>https://www.lincolnfinancialfield.com/lots-de/</x:v>
      </x:c>
    </x:row>
    <x:row r="212">
      <x:c r="A212" s="52" t="str">
        <x:v>philadelphia-tnc-PERM</x:v>
      </x:c>
      <x:c r="B212" s="52" t="n">
        <x:v>9</x:v>
      </x:c>
      <x:c r="C212" s="52" t="str">
        <x:v>philadelphia</x:v>
      </x:c>
      <x:c r="D212" s="52" t="str">
        <x:v>Philadelphia</x:v>
      </x:c>
      <x:c r="E212" s="52" t="str">
        <x:v>tnc</x:v>
      </x:c>
      <x:c r="F212" s="52" t="str">
        <x:v>Managed rideshare hub</x:v>
      </x:c>
      <x:c r="G212" s="52" t="str">
        <x:v>permanent</x:v>
      </x:c>
      <x:c r="H212" s="52" t="str">
        <x:v>phi-lots-de</x:v>
      </x:c>
      <x:c r="I212" s="52" t="str">
        <x:v>PHI-DE</x:v>
      </x:c>
      <x:c r="J212" s="52" t="str">
        <x:v>Lincoln Financial Field Lots D/E east approach</x:v>
      </x:c>
      <x:c r="K212" s="53" t="n">
        <x:v>39.90006</x:v>
      </x:c>
      <x:c r="L212" s="53" t="n">
        <x:v>-75.16965</x:v>
      </x:c>
      <x:c r="M212" s="56" t="n">
        <x:v>300</x:v>
      </x:c>
      <x:c r="N212" s="56" t="str">
        <x:v>polygon_extrusion</x:v>
      </x:c>
      <x:c r="O212" s="56" t="n">
        <x:v>70</x:v>
      </x:c>
      <x:c r="P212" s="56" t="n">
        <x:v>45</x:v>
      </x:c>
      <x:c r="Q212" s="56" t="n">
        <x:v>0.2</x:v>
      </x:c>
      <x:c r="R212" s="56" t="n">
        <x:v>27</x:v>
      </x:c>
      <x:c r="S212" s="56" t="n">
        <x:v>0.1</x:v>
      </x:c>
      <x:c r="T212" s="52" t="str">
        <x:v>#2563EB</x:v>
      </x:c>
      <x:c r="U212" s="55" t="n">
        <x:v>0.85</x:v>
      </x:c>
      <x:c r="V212" s="58" t="n">
        <x:f>'Funding Categories'!M116</x:f>
        <x:v>200000</x:v>
      </x:c>
      <x:c r="W212" s="52" t="str">
        <x:f>IF(V212&gt;0,"Yes","No")</x:f>
        <x:v>Yes</x:v>
      </x:c>
      <x:c r="X212" s="52" t="str">
        <x:v>off-street rideshare hub with accessible bays</x:v>
      </x:c>
      <x:c r="Y212" s="52" t="str">
        <x:v>concept_only</x:v>
      </x:c>
      <x:c r="Z212" s="52" t="str">
        <x:v>planning_anchor ±25–100 m</x:v>
      </x:c>
      <x:c r="AA212" s="52" t="str">
        <x:v>engineering_assumption</x:v>
      </x:c>
      <x:c r="AB212" s="52" t="str">
        <x:v>https://www.lincolnfinancialfield.com/lots-de/</x:v>
      </x:c>
    </x:row>
    <x:row r="213">
      <x:c r="A213" s="52" t="str">
        <x:v>philadelphia-wayfinding-TMP</x:v>
      </x:c>
      <x:c r="B213" s="52" t="n">
        <x:v>9</x:v>
      </x:c>
      <x:c r="C213" s="52" t="str">
        <x:v>philadelphia</x:v>
      </x:c>
      <x:c r="D213" s="52" t="str">
        <x:v>Philadelphia</x:v>
      </x:c>
      <x:c r="E213" s="52" t="str">
        <x:v>wayfinding</x:v>
      </x:c>
      <x:c r="F213" s="52" t="str">
        <x:v>Multilingual wayfinding</x:v>
      </x:c>
      <x:c r="G213" s="52" t="str">
        <x:v>temporary</x:v>
      </x:c>
      <x:c r="H213" s="52" t="str">
        <x:v>phi-nrg-station</x:v>
      </x:c>
      <x:c r="I213" s="52" t="str">
        <x:v>PHI-NRG</x:v>
      </x:c>
      <x:c r="J213" s="52" t="str">
        <x:v>NRG Station and Broad Street queue zone</x:v>
      </x:c>
      <x:c r="K213" s="53" t="n">
        <x:v>39.9047</x:v>
      </x:c>
      <x:c r="L213" s="53" t="n">
        <x:v>-75.1736</x:v>
      </x:c>
      <x:c r="M213" s="56" t="n">
        <x:v>250</x:v>
      </x:c>
      <x:c r="N213" s="56" t="str">
        <x:v>point_model</x:v>
      </x:c>
      <x:c r="O213" s="56" t="n">
        <x:v>1</x:v>
      </x:c>
      <x:c r="P213" s="56" t="n">
        <x:v>1</x:v>
      </x:c>
      <x:c r="Q213" s="56" t="n">
        <x:v>2.5</x:v>
      </x:c>
      <x:c r="R213" s="56" t="n">
        <x:v>37</x:v>
      </x:c>
      <x:c r="S213" s="56" t="n">
        <x:v>0.05</x:v>
      </x:c>
      <x:c r="T213" s="52" t="str">
        <x:v>#F59E0B</x:v>
      </x:c>
      <x:c r="U213" s="55" t="n">
        <x:v>0.55</x:v>
      </x:c>
      <x:c r="V213" s="58" t="n">
        <x:f>'Funding Categories'!L117</x:f>
        <x:v>135000</x:v>
      </x:c>
      <x:c r="W213" s="52" t="str">
        <x:f>IF(V213&gt;0,"Yes","No")</x:f>
        <x:v>Yes</x:v>
      </x:c>
      <x:c r="X213" s="52" t="str">
        <x:v>portable signs; digital messages; multilingual ambassadors</x:v>
      </x:c>
      <x:c r="Y213" s="52" t="str">
        <x:v>concept_only</x:v>
      </x:c>
      <x:c r="Z213" s="52" t="str">
        <x:v>planning_anchor ±25–100 m</x:v>
      </x:c>
      <x:c r="AA213" s="52" t="str">
        <x:v>engineering_assumption</x:v>
      </x:c>
      <x:c r="AB213" s="52" t="str">
        <x:v>https://wwww.septa.org/news/infrastructure-improvements-for-fifa/</x:v>
      </x:c>
    </x:row>
    <x:row r="214">
      <x:c r="A214" s="52" t="str">
        <x:v>philadelphia-wayfinding-PERM</x:v>
      </x:c>
      <x:c r="B214" s="52" t="n">
        <x:v>9</x:v>
      </x:c>
      <x:c r="C214" s="52" t="str">
        <x:v>philadelphia</x:v>
      </x:c>
      <x:c r="D214" s="52" t="str">
        <x:v>Philadelphia</x:v>
      </x:c>
      <x:c r="E214" s="52" t="str">
        <x:v>wayfinding</x:v>
      </x:c>
      <x:c r="F214" s="52" t="str">
        <x:v>Multilingual wayfinding</x:v>
      </x:c>
      <x:c r="G214" s="52" t="str">
        <x:v>permanent</x:v>
      </x:c>
      <x:c r="H214" s="52" t="str">
        <x:v>phi-nrg-station</x:v>
      </x:c>
      <x:c r="I214" s="52" t="str">
        <x:v>PHI-NRG</x:v>
      </x:c>
      <x:c r="J214" s="52" t="str">
        <x:v>NRG Station and Broad Street queue zone</x:v>
      </x:c>
      <x:c r="K214" s="53" t="n">
        <x:v>39.9047</x:v>
      </x:c>
      <x:c r="L214" s="53" t="n">
        <x:v>-75.1736</x:v>
      </x:c>
      <x:c r="M214" s="56" t="n">
        <x:v>250</x:v>
      </x:c>
      <x:c r="N214" s="56" t="str">
        <x:v>point_model</x:v>
      </x:c>
      <x:c r="O214" s="56" t="n">
        <x:v>1</x:v>
      </x:c>
      <x:c r="P214" s="56" t="n">
        <x:v>1</x:v>
      </x:c>
      <x:c r="Q214" s="56" t="n">
        <x:v>4</x:v>
      </x:c>
      <x:c r="R214" s="56" t="n">
        <x:v>44</x:v>
      </x:c>
      <x:c r="S214" s="56" t="n">
        <x:v>0.1</x:v>
      </x:c>
      <x:c r="T214" s="52" t="str">
        <x:v>#2563EB</x:v>
      </x:c>
      <x:c r="U214" s="55" t="n">
        <x:v>0.85</x:v>
      </x:c>
      <x:c r="V214" s="58" t="n">
        <x:f>'Funding Categories'!M117</x:f>
        <x:v>165000</x:v>
      </x:c>
      <x:c r="W214" s="52" t="str">
        <x:f>IF(V214&gt;0,"Yes","No")</x:f>
        <x:v>Yes</x:v>
      </x:c>
      <x:c r="X214" s="52" t="str">
        <x:v>fixed multilingual physical and digital wayfinding</x:v>
      </x:c>
      <x:c r="Y214" s="52" t="str">
        <x:v>concept_only</x:v>
      </x:c>
      <x:c r="Z214" s="52" t="str">
        <x:v>planning_anchor ±25–100 m</x:v>
      </x:c>
      <x:c r="AA214" s="52" t="str">
        <x:v>engineering_assumption</x:v>
      </x:c>
      <x:c r="AB214" s="52" t="str">
        <x:v>https://wwww.septa.org/news/infrastructure-improvements-for-fifa/</x:v>
      </x:c>
    </x:row>
    <x:row r="215">
      <x:c r="A215" s="52" t="str">
        <x:v>philadelphia-station-TMP</x:v>
      </x:c>
      <x:c r="B215" s="52" t="n">
        <x:v>9</x:v>
      </x:c>
      <x:c r="C215" s="52" t="str">
        <x:v>philadelphia</x:v>
      </x:c>
      <x:c r="D215" s="52" t="str">
        <x:v>Philadelphia</x:v>
      </x:c>
      <x:c r="E215" s="52" t="str">
        <x:v>station</x:v>
      </x:c>
      <x:c r="F215" s="52" t="str">
        <x:v>Station-capacity package</x:v>
      </x:c>
      <x:c r="G215" s="52" t="str">
        <x:v>temporary</x:v>
      </x:c>
      <x:c r="H215" s="52" t="str">
        <x:v>phi-nrg-station</x:v>
      </x:c>
      <x:c r="I215" s="52" t="str">
        <x:v>PHI-NRG</x:v>
      </x:c>
      <x:c r="J215" s="52" t="str">
        <x:v>NRG Station and Broad Street queue zone</x:v>
      </x:c>
      <x:c r="K215" s="53" t="n">
        <x:v>39.9047</x:v>
      </x:c>
      <x:c r="L215" s="53" t="n">
        <x:v>-75.1736</x:v>
      </x:c>
      <x:c r="M215" s="56" t="n">
        <x:v>250</x:v>
      </x:c>
      <x:c r="N215" s="56" t="str">
        <x:v>glb_model</x:v>
      </x:c>
      <x:c r="O215" s="56" t="n">
        <x:v>120</x:v>
      </x:c>
      <x:c r="P215" s="56" t="n">
        <x:v>45</x:v>
      </x:c>
      <x:c r="Q215" s="56" t="n">
        <x:v>6</x:v>
      </x:c>
      <x:c r="R215" s="56" t="n">
        <x:v>54</x:v>
      </x:c>
      <x:c r="S215" s="56" t="n">
        <x:v>0.05</x:v>
      </x:c>
      <x:c r="T215" s="52" t="str">
        <x:v>#F59E0B</x:v>
      </x:c>
      <x:c r="U215" s="55" t="n">
        <x:v>0.55</x:v>
      </x:c>
      <x:c r="V215" s="58" t="n">
        <x:f>'Funding Categories'!L118</x:f>
        <x:v>500000</x:v>
      </x:c>
      <x:c r="W215" s="52" t="str">
        <x:f>IF(V215&gt;0,"Yes","No")</x:f>
        <x:v>Yes</x:v>
      </x:c>
      <x:c r="X215" s="52" t="str">
        <x:v>temporary gates; queue barriers; portable fare equipment</x:v>
      </x:c>
      <x:c r="Y215" s="52" t="str">
        <x:v>concept_only</x:v>
      </x:c>
      <x:c r="Z215" s="52" t="str">
        <x:v>planning_anchor ±25–100 m</x:v>
      </x:c>
      <x:c r="AA215" s="52" t="str">
        <x:v>engineering_assumption</x:v>
      </x:c>
      <x:c r="AB215" s="52" t="str">
        <x:v>https://wwww.septa.org/news/infrastructure-improvements-for-fifa/</x:v>
      </x:c>
    </x:row>
    <x:row r="216">
      <x:c r="A216" s="52" t="str">
        <x:v>philadelphia-station-PERM</x:v>
      </x:c>
      <x:c r="B216" s="52" t="n">
        <x:v>9</x:v>
      </x:c>
      <x:c r="C216" s="52" t="str">
        <x:v>philadelphia</x:v>
      </x:c>
      <x:c r="D216" s="52" t="str">
        <x:v>Philadelphia</x:v>
      </x:c>
      <x:c r="E216" s="52" t="str">
        <x:v>station</x:v>
      </x:c>
      <x:c r="F216" s="52" t="str">
        <x:v>Station-capacity package</x:v>
      </x:c>
      <x:c r="G216" s="52" t="str">
        <x:v>permanent</x:v>
      </x:c>
      <x:c r="H216" s="52" t="str">
        <x:v>phi-nrg-station</x:v>
      </x:c>
      <x:c r="I216" s="52" t="str">
        <x:v>PHI-NRG</x:v>
      </x:c>
      <x:c r="J216" s="52" t="str">
        <x:v>NRG Station and Broad Street queue zone</x:v>
      </x:c>
      <x:c r="K216" s="53" t="n">
        <x:v>39.9047</x:v>
      </x:c>
      <x:c r="L216" s="53" t="n">
        <x:v>-75.1736</x:v>
      </x:c>
      <x:c r="M216" s="56" t="n">
        <x:v>250</x:v>
      </x:c>
      <x:c r="N216" s="56" t="str">
        <x:v>glb_model</x:v>
      </x:c>
      <x:c r="O216" s="56" t="n">
        <x:v>120</x:v>
      </x:c>
      <x:c r="P216" s="56" t="n">
        <x:v>45</x:v>
      </x:c>
      <x:c r="Q216" s="56" t="n">
        <x:v>18</x:v>
      </x:c>
      <x:c r="R216" s="56" t="n">
        <x:v>61</x:v>
      </x:c>
      <x:c r="S216" s="56" t="n">
        <x:v>0.1</x:v>
      </x:c>
      <x:c r="T216" s="52" t="str">
        <x:v>#2563EB</x:v>
      </x:c>
      <x:c r="U216" s="55" t="n">
        <x:v>0.85</x:v>
      </x:c>
      <x:c r="V216" s="58" t="n">
        <x:f>'Funding Categories'!M118</x:f>
        <x:v>2000000</x:v>
      </x:c>
      <x:c r="W216" s="52" t="str">
        <x:f>IF(V216&gt;0,"Yes","No")</x:f>
        <x:v>Yes</x:v>
      </x:c>
      <x:c r="X216" s="52" t="str">
        <x:v>platform, entry and circulation expansion</x:v>
      </x:c>
      <x:c r="Y216" s="52" t="str">
        <x:v>concept_only</x:v>
      </x:c>
      <x:c r="Z216" s="52" t="str">
        <x:v>planning_anchor ±25–100 m</x:v>
      </x:c>
      <x:c r="AA216" s="52" t="str">
        <x:v>engineering_assumption</x:v>
      </x:c>
      <x:c r="AB216" s="52" t="str">
        <x:v>https://wwww.septa.org/news/infrastructure-improvements-for-fifa/</x:v>
      </x:c>
    </x:row>
    <x:row r="217">
      <x:c r="A217" s="52" t="str">
        <x:v>philadelphia-toc-TMP</x:v>
      </x:c>
      <x:c r="B217" s="52" t="n">
        <x:v>9</x:v>
      </x:c>
      <x:c r="C217" s="52" t="str">
        <x:v>philadelphia</x:v>
      </x:c>
      <x:c r="D217" s="52" t="str">
        <x:v>Philadelphia</x:v>
      </x:c>
      <x:c r="E217" s="52" t="str">
        <x:v>toc</x:v>
      </x:c>
      <x:c r="F217" s="52" t="str">
        <x:v>Integrated traffic operations</x:v>
      </x:c>
      <x:c r="G217" s="52" t="str">
        <x:v>temporary</x:v>
      </x:c>
      <x:c r="H217" s="52" t="str">
        <x:v>phi-lots-de</x:v>
      </x:c>
      <x:c r="I217" s="52" t="str">
        <x:v>PHI-DE</x:v>
      </x:c>
      <x:c r="J217" s="52" t="str">
        <x:v>Lincoln Financial Field Lots D/E east approach</x:v>
      </x:c>
      <x:c r="K217" s="53" t="n">
        <x:v>39.90006</x:v>
      </x:c>
      <x:c r="L217" s="53" t="n">
        <x:v>-75.16965</x:v>
      </x:c>
      <x:c r="M217" s="56" t="n">
        <x:v>300</x:v>
      </x:c>
      <x:c r="N217" s="56" t="str">
        <x:v>glb_model</x:v>
      </x:c>
      <x:c r="O217" s="56" t="n">
        <x:v>60</x:v>
      </x:c>
      <x:c r="P217" s="56" t="n">
        <x:v>40</x:v>
      </x:c>
      <x:c r="Q217" s="56" t="n">
        <x:v>4</x:v>
      </x:c>
      <x:c r="R217" s="56" t="n">
        <x:v>71</x:v>
      </x:c>
      <x:c r="S217" s="56" t="n">
        <x:v>0.05</x:v>
      </x:c>
      <x:c r="T217" s="52" t="str">
        <x:v>#F59E0B</x:v>
      </x:c>
      <x:c r="U217" s="55" t="n">
        <x:v>0.55</x:v>
      </x:c>
      <x:c r="V217" s="58" t="n">
        <x:f>'Funding Categories'!L119</x:f>
        <x:v>375000</x:v>
      </x:c>
      <x:c r="W217" s="52" t="str">
        <x:f>IF(V217&gt;0,"Yes","No")</x:f>
        <x:v>Yes</x:v>
      </x:c>
      <x:c r="X217" s="52" t="str">
        <x:v>unified incident command and temporary sensor feeds</x:v>
      </x:c>
      <x:c r="Y217" s="52" t="str">
        <x:v>concept_only</x:v>
      </x:c>
      <x:c r="Z217" s="52" t="str">
        <x:v>planning_anchor ±25–100 m</x:v>
      </x:c>
      <x:c r="AA217" s="52" t="str">
        <x:v>engineering_assumption</x:v>
      </x:c>
      <x:c r="AB217" s="52" t="str">
        <x:v>https://www.lincolnfinancialfield.com/lots-de/</x:v>
      </x:c>
    </x:row>
    <x:row r="218">
      <x:c r="A218" s="52" t="str">
        <x:v>philadelphia-toc-PERM</x:v>
      </x:c>
      <x:c r="B218" s="52" t="n">
        <x:v>9</x:v>
      </x:c>
      <x:c r="C218" s="52" t="str">
        <x:v>philadelphia</x:v>
      </x:c>
      <x:c r="D218" s="52" t="str">
        <x:v>Philadelphia</x:v>
      </x:c>
      <x:c r="E218" s="52" t="str">
        <x:v>toc</x:v>
      </x:c>
      <x:c r="F218" s="52" t="str">
        <x:v>Integrated traffic operations</x:v>
      </x:c>
      <x:c r="G218" s="52" t="str">
        <x:v>permanent</x:v>
      </x:c>
      <x:c r="H218" s="52" t="str">
        <x:v>phi-lots-de</x:v>
      </x:c>
      <x:c r="I218" s="52" t="str">
        <x:v>PHI-DE</x:v>
      </x:c>
      <x:c r="J218" s="52" t="str">
        <x:v>Lincoln Financial Field Lots D/E east approach</x:v>
      </x:c>
      <x:c r="K218" s="53" t="n">
        <x:v>39.90006</x:v>
      </x:c>
      <x:c r="L218" s="53" t="n">
        <x:v>-75.16965</x:v>
      </x:c>
      <x:c r="M218" s="56" t="n">
        <x:v>300</x:v>
      </x:c>
      <x:c r="N218" s="56" t="str">
        <x:v>glb_model</x:v>
      </x:c>
      <x:c r="O218" s="56" t="n">
        <x:v>60</x:v>
      </x:c>
      <x:c r="P218" s="56" t="n">
        <x:v>40</x:v>
      </x:c>
      <x:c r="Q218" s="56" t="n">
        <x:v>12</x:v>
      </x:c>
      <x:c r="R218" s="56" t="n">
        <x:v>78</x:v>
      </x:c>
      <x:c r="S218" s="56" t="n">
        <x:v>0.1</x:v>
      </x:c>
      <x:c r="T218" s="52" t="str">
        <x:v>#2563EB</x:v>
      </x:c>
      <x:c r="U218" s="55" t="n">
        <x:v>0.85</x:v>
      </x:c>
      <x:c r="V218" s="58" t="n">
        <x:f>'Funding Categories'!M119</x:f>
        <x:v>1125000</x:v>
      </x:c>
      <x:c r="W218" s="52" t="str">
        <x:f>IF(V218&gt;0,"Yes","No")</x:f>
        <x:v>Yes</x:v>
      </x:c>
      <x:c r="X218" s="52" t="str">
        <x:v>integrated operations center and adaptive dispatch</x:v>
      </x:c>
      <x:c r="Y218" s="52" t="str">
        <x:v>concept_only</x:v>
      </x:c>
      <x:c r="Z218" s="52" t="str">
        <x:v>planning_anchor ±25–100 m</x:v>
      </x:c>
      <x:c r="AA218" s="52" t="str">
        <x:v>engineering_assumption</x:v>
      </x:c>
      <x:c r="AB218" s="52" t="str">
        <x:v>https://www.lincolnfinancialfield.com/lots-de/</x:v>
      </x:c>
    </x:row>
    <x:row r="219">
      <x:c r="A219" s="52" t="str">
        <x:v>philadelphia-access-TMP</x:v>
      </x:c>
      <x:c r="B219" s="52" t="n">
        <x:v>9</x:v>
      </x:c>
      <x:c r="C219" s="52" t="str">
        <x:v>philadelphia</x:v>
      </x:c>
      <x:c r="D219" s="52" t="str">
        <x:v>Philadelphia</x:v>
      </x:c>
      <x:c r="E219" s="52" t="str">
        <x:v>access</x:v>
      </x:c>
      <x:c r="F219" s="52" t="str">
        <x:v>ADA/microtransit access</x:v>
      </x:c>
      <x:c r="G219" s="52" t="str">
        <x:v>temporary</x:v>
      </x:c>
      <x:c r="H219" s="52" t="str">
        <x:v>phi-nrg-station</x:v>
      </x:c>
      <x:c r="I219" s="52" t="str">
        <x:v>PHI-NRG</x:v>
      </x:c>
      <x:c r="J219" s="52" t="str">
        <x:v>NRG Station and Broad Street queue zone</x:v>
      </x:c>
      <x:c r="K219" s="53" t="n">
        <x:v>39.9047</x:v>
      </x:c>
      <x:c r="L219" s="53" t="n">
        <x:v>-75.1736</x:v>
      </x:c>
      <x:c r="M219" s="56" t="n">
        <x:v>250</x:v>
      </x:c>
      <x:c r="N219" s="56" t="str">
        <x:v>line_extrusion</x:v>
      </x:c>
      <x:c r="O219" s="56" t="n">
        <x:v>800</x:v>
      </x:c>
      <x:c r="P219" s="56" t="n">
        <x:v>3</x:v>
      </x:c>
      <x:c r="Q219" s="56" t="n">
        <x:v>0.1</x:v>
      </x:c>
      <x:c r="R219" s="56" t="n">
        <x:v>88</x:v>
      </x:c>
      <x:c r="S219" s="56" t="n">
        <x:v>0.05</x:v>
      </x:c>
      <x:c r="T219" s="52" t="str">
        <x:v>#F59E0B</x:v>
      </x:c>
      <x:c r="U219" s="55" t="n">
        <x:v>0.55</x:v>
      </x:c>
      <x:c r="V219" s="58" t="n">
        <x:f>'Funding Categories'!L120</x:f>
        <x:v>0</x:v>
      </x:c>
      <x:c r="W219" s="52" t="str">
        <x:f>IF(V219&gt;0,"Yes","No")</x:f>
        <x:v>No</x:v>
      </x:c>
      <x:c r="X219" s="52" t="str">
        <x:v>accessible shuttles; temporary ramps and staffed assistance</x:v>
      </x:c>
      <x:c r="Y219" s="52" t="str">
        <x:v>concept_only</x:v>
      </x:c>
      <x:c r="Z219" s="52" t="str">
        <x:v>planning_anchor ±25–100 m</x:v>
      </x:c>
      <x:c r="AA219" s="52" t="str">
        <x:v>engineering_assumption</x:v>
      </x:c>
      <x:c r="AB219" s="52" t="str">
        <x:v>https://wwww.septa.org/news/infrastructure-improvements-for-fifa/</x:v>
      </x:c>
    </x:row>
    <x:row r="220">
      <x:c r="A220" s="52" t="str">
        <x:v>philadelphia-access-PERM</x:v>
      </x:c>
      <x:c r="B220" s="52" t="n">
        <x:v>9</x:v>
      </x:c>
      <x:c r="C220" s="52" t="str">
        <x:v>philadelphia</x:v>
      </x:c>
      <x:c r="D220" s="52" t="str">
        <x:v>Philadelphia</x:v>
      </x:c>
      <x:c r="E220" s="52" t="str">
        <x:v>access</x:v>
      </x:c>
      <x:c r="F220" s="52" t="str">
        <x:v>ADA/microtransit access</x:v>
      </x:c>
      <x:c r="G220" s="52" t="str">
        <x:v>permanent</x:v>
      </x:c>
      <x:c r="H220" s="52" t="str">
        <x:v>phi-nrg-station</x:v>
      </x:c>
      <x:c r="I220" s="52" t="str">
        <x:v>PHI-NRG</x:v>
      </x:c>
      <x:c r="J220" s="52" t="str">
        <x:v>NRG Station and Broad Street queue zone</x:v>
      </x:c>
      <x:c r="K220" s="53" t="n">
        <x:v>39.9047</x:v>
      </x:c>
      <x:c r="L220" s="53" t="n">
        <x:v>-75.1736</x:v>
      </x:c>
      <x:c r="M220" s="56" t="n">
        <x:v>250</x:v>
      </x:c>
      <x:c r="N220" s="56" t="str">
        <x:v>line_extrusion</x:v>
      </x:c>
      <x:c r="O220" s="56" t="n">
        <x:v>800</x:v>
      </x:c>
      <x:c r="P220" s="56" t="n">
        <x:v>3</x:v>
      </x:c>
      <x:c r="Q220" s="56" t="n">
        <x:v>0.1</x:v>
      </x:c>
      <x:c r="R220" s="56" t="n">
        <x:v>95</x:v>
      </x:c>
      <x:c r="S220" s="56" t="n">
        <x:v>0.1</x:v>
      </x:c>
      <x:c r="T220" s="52" t="str">
        <x:v>#2563EB</x:v>
      </x:c>
      <x:c r="U220" s="55" t="n">
        <x:v>0.85</x:v>
      </x:c>
      <x:c r="V220" s="58" t="n">
        <x:f>'Funding Categories'!M120</x:f>
        <x:v>0</x:v>
      </x:c>
      <x:c r="W220" s="52" t="str">
        <x:f>IF(V220&gt;0,"Yes","No")</x:f>
        <x:v>No</x:v>
      </x:c>
      <x:c r="X220" s="52" t="str">
        <x:v>ADA ramps; tactile guidance; accessible first/last-mile network</x:v>
      </x:c>
      <x:c r="Y220" s="52" t="str">
        <x:v>concept_only</x:v>
      </x:c>
      <x:c r="Z220" s="52" t="str">
        <x:v>planning_anchor ±25–100 m</x:v>
      </x:c>
      <x:c r="AA220" s="52" t="str">
        <x:v>engineering_assumption</x:v>
      </x:c>
      <x:c r="AB220" s="52" t="str">
        <x:v>https://wwww.septa.org/news/infrastructure-improvements-for-fifa/</x:v>
      </x:c>
    </x:row>
    <x:row r="221">
      <x:c r="A221" s="52" t="str">
        <x:v>sf-bay-service-TMP</x:v>
      </x:c>
      <x:c r="B221" s="52" t="n">
        <x:v>10</x:v>
      </x:c>
      <x:c r="C221" s="52" t="str">
        <x:v>sf-bay</x:v>
      </x:c>
      <x:c r="D221" s="52" t="str">
        <x:v>San Francisco Bay Area</x:v>
      </x:c>
      <x:c r="E221" s="52" t="str">
        <x:v>service</x:v>
      </x:c>
      <x:c r="F221" s="52" t="str">
        <x:v>Extra transit service</x:v>
      </x:c>
      <x:c r="G221" s="52" t="str">
        <x:v>temporary</x:v>
      </x:c>
      <x:c r="H221" s="52" t="str">
        <x:v>sf-great-america-station</x:v>
      </x:c>
      <x:c r="I221" s="52" t="str">
        <x:v>SF-GA</x:v>
      </x:c>
      <x:c r="J221" s="52" t="str">
        <x:v>Great America VTA station platform queue</x:v>
      </x:c>
      <x:c r="K221" s="53" t="n">
        <x:v>37.403468</x:v>
      </x:c>
      <x:c r="L221" s="53" t="n">
        <x:v>-121.974908</x:v>
      </x:c>
      <x:c r="M221" s="56" t="n">
        <x:v>250</x:v>
      </x:c>
      <x:c r="N221" s="56" t="str">
        <x:v>animated_route</x:v>
      </x:c>
      <x:c r="O221" s="56" t="n">
        <x:v>1500</x:v>
      </x:c>
      <x:c r="P221" s="56" t="n">
        <x:v>2</x:v>
      </x:c>
      <x:c r="Q221" s="56" t="n">
        <x:v>0.5</x:v>
      </x:c>
      <x:c r="R221" s="56" t="n">
        <x:v>290</x:v>
      </x:c>
      <x:c r="S221" s="56" t="n">
        <x:v>0.05</x:v>
      </x:c>
      <x:c r="T221" s="52" t="str">
        <x:v>#F59E0B</x:v>
      </x:c>
      <x:c r="U221" s="55" t="n">
        <x:v>0.55</x:v>
      </x:c>
      <x:c r="V221" s="58" t="n">
        <x:f>'Funding Categories'!L122</x:f>
        <x:v>1320000</x:v>
      </x:c>
      <x:c r="W221" s="52" t="str">
        <x:f>IF(V221&gt;0,"Yes","No")</x:f>
        <x:v>Yes</x:v>
      </x:c>
      <x:c r="X221" s="52" t="str">
        <x:v>extra rail/bus vehicle-hours; standby operators; event timetable</x:v>
      </x:c>
      <x:c r="Y221" s="52" t="str">
        <x:v>concept_only</x:v>
      </x:c>
      <x:c r="Z221" s="52" t="str">
        <x:v>planning_anchor ±25–100 m</x:v>
      </x:c>
      <x:c r="AA221" s="52" t="str">
        <x:v>engineering_assumption</x:v>
      </x:c>
      <x:c r="AB221" s="52" t="str">
        <x:v>https://www.vta.org/go/stations/great-america</x:v>
      </x:c>
    </x:row>
    <x:row r="222">
      <x:c r="A222" s="52" t="str">
        <x:v>sf-bay-service-PERM</x:v>
      </x:c>
      <x:c r="B222" s="52" t="n">
        <x:v>10</x:v>
      </x:c>
      <x:c r="C222" s="52" t="str">
        <x:v>sf-bay</x:v>
      </x:c>
      <x:c r="D222" s="52" t="str">
        <x:v>San Francisco Bay Area</x:v>
      </x:c>
      <x:c r="E222" s="52" t="str">
        <x:v>service</x:v>
      </x:c>
      <x:c r="F222" s="52" t="str">
        <x:v>Extra transit service</x:v>
      </x:c>
      <x:c r="G222" s="52" t="str">
        <x:v>permanent</x:v>
      </x:c>
      <x:c r="H222" s="52" t="str">
        <x:v>sf-great-america-station</x:v>
      </x:c>
      <x:c r="I222" s="52" t="str">
        <x:v>SF-GA</x:v>
      </x:c>
      <x:c r="J222" s="52" t="str">
        <x:v>Great America VTA station platform queue</x:v>
      </x:c>
      <x:c r="K222" s="53" t="n">
        <x:v>37.403468</x:v>
      </x:c>
      <x:c r="L222" s="53" t="n">
        <x:v>-121.974908</x:v>
      </x:c>
      <x:c r="M222" s="56" t="n">
        <x:v>250</x:v>
      </x:c>
      <x:c r="N222" s="56" t="str">
        <x:v>animated_route</x:v>
      </x:c>
      <x:c r="O222" s="56" t="n">
        <x:v>1500</x:v>
      </x:c>
      <x:c r="P222" s="56" t="n">
        <x:v>2</x:v>
      </x:c>
      <x:c r="Q222" s="56" t="n">
        <x:v>1</x:v>
      </x:c>
      <x:c r="R222" s="56" t="n">
        <x:v>297</x:v>
      </x:c>
      <x:c r="S222" s="56" t="n">
        <x:v>0.1</x:v>
      </x:c>
      <x:c r="T222" s="52" t="str">
        <x:v>#2563EB</x:v>
      </x:c>
      <x:c r="U222" s="55" t="n">
        <x:v>0.85</x:v>
      </x:c>
      <x:c r="V222" s="58" t="n">
        <x:f>'Funding Categories'!M122</x:f>
        <x:v>330000</x:v>
      </x:c>
      <x:c r="W222" s="52" t="str">
        <x:f>IF(V222&gt;0,"Yes","No")</x:f>
        <x:v>Yes</x:v>
      </x:c>
      <x:c r="X222" s="52" t="str">
        <x:v>recurring major-event service plan; fleet and stabling readiness</x:v>
      </x:c>
      <x:c r="Y222" s="52" t="str">
        <x:v>concept_only</x:v>
      </x:c>
      <x:c r="Z222" s="52" t="str">
        <x:v>planning_anchor ±25–100 m</x:v>
      </x:c>
      <x:c r="AA222" s="52" t="str">
        <x:v>engineering_assumption</x:v>
      </x:c>
      <x:c r="AB222" s="52" t="str">
        <x:v>https://www.vta.org/go/stations/great-america</x:v>
      </x:c>
    </x:row>
    <x:row r="223">
      <x:c r="A223" s="52" t="str">
        <x:v>sf-bay-buslane-TMP</x:v>
      </x:c>
      <x:c r="B223" s="52" t="n">
        <x:v>10</x:v>
      </x:c>
      <x:c r="C223" s="52" t="str">
        <x:v>sf-bay</x:v>
      </x:c>
      <x:c r="D223" s="52" t="str">
        <x:v>San Francisco Bay Area</x:v>
      </x:c>
      <x:c r="E223" s="52" t="str">
        <x:v>buslane</x:v>
      </x:c>
      <x:c r="F223" s="52" t="str">
        <x:v>Transit-priority lanes</x:v>
      </x:c>
      <x:c r="G223" s="52" t="str">
        <x:v>temporary</x:v>
      </x:c>
      <x:c r="H223" s="52" t="str">
        <x:v>sf-tasman-debartolo</x:v>
      </x:c>
      <x:c r="I223" s="52" t="str">
        <x:v>SF-TAS</x:v>
      </x:c>
      <x:c r="J223" s="52" t="str">
        <x:v>Tasman Drive and Marie P. DeBartolo Way east plaza</x:v>
      </x:c>
      <x:c r="K223" s="53" t="n">
        <x:v>37.4035</x:v>
      </x:c>
      <x:c r="L223" s="53" t="n">
        <x:v>-121.9696</x:v>
      </x:c>
      <x:c r="M223" s="56" t="n">
        <x:v>300</x:v>
      </x:c>
      <x:c r="N223" s="56" t="str">
        <x:v>line_extrusion</x:v>
      </x:c>
      <x:c r="O223" s="56" t="n">
        <x:v>3200</x:v>
      </x:c>
      <x:c r="P223" s="56" t="n">
        <x:v>3.5</x:v>
      </x:c>
      <x:c r="Q223" s="56" t="n">
        <x:v>0.1</x:v>
      </x:c>
      <x:c r="R223" s="56" t="n">
        <x:v>307</x:v>
      </x:c>
      <x:c r="S223" s="56" t="n">
        <x:v>0.05</x:v>
      </x:c>
      <x:c r="T223" s="52" t="str">
        <x:v>#F59E0B</x:v>
      </x:c>
      <x:c r="U223" s="55" t="n">
        <x:v>0.55</x:v>
      </x:c>
      <x:c r="V223" s="58" t="n">
        <x:f>'Funding Categories'!L123</x:f>
        <x:v>648000</x:v>
      </x:c>
      <x:c r="W223" s="52" t="str">
        <x:f>IF(V223&gt;0,"Yes","No")</x:f>
        <x:v>Yes</x:v>
      </x:c>
      <x:c r="X223" s="52" t="str">
        <x:v>cone- and paint-defined bus lane with enforcement</x:v>
      </x:c>
      <x:c r="Y223" s="52" t="str">
        <x:v>concept_only</x:v>
      </x:c>
      <x:c r="Z223" s="52" t="str">
        <x:v>planning_anchor ±25–100 m</x:v>
      </x:c>
      <x:c r="AA223" s="52" t="str">
        <x:v>engineering_assumption</x:v>
      </x:c>
      <x:c r="AB223" s="52" t="str">
        <x:v>https://www.vta.org/media/37311</x:v>
      </x:c>
    </x:row>
    <x:row r="224">
      <x:c r="A224" s="52" t="str">
        <x:v>sf-bay-buslane-PERM</x:v>
      </x:c>
      <x:c r="B224" s="52" t="n">
        <x:v>10</x:v>
      </x:c>
      <x:c r="C224" s="52" t="str">
        <x:v>sf-bay</x:v>
      </x:c>
      <x:c r="D224" s="52" t="str">
        <x:v>San Francisco Bay Area</x:v>
      </x:c>
      <x:c r="E224" s="52" t="str">
        <x:v>buslane</x:v>
      </x:c>
      <x:c r="F224" s="52" t="str">
        <x:v>Transit-priority lanes</x:v>
      </x:c>
      <x:c r="G224" s="52" t="str">
        <x:v>permanent</x:v>
      </x:c>
      <x:c r="H224" s="52" t="str">
        <x:v>sf-tasman-debartolo</x:v>
      </x:c>
      <x:c r="I224" s="52" t="str">
        <x:v>SF-TAS</x:v>
      </x:c>
      <x:c r="J224" s="52" t="str">
        <x:v>Tasman Drive and Marie P. DeBartolo Way east plaza</x:v>
      </x:c>
      <x:c r="K224" s="53" t="n">
        <x:v>37.4035</x:v>
      </x:c>
      <x:c r="L224" s="53" t="n">
        <x:v>-121.9696</x:v>
      </x:c>
      <x:c r="M224" s="56" t="n">
        <x:v>300</x:v>
      </x:c>
      <x:c r="N224" s="56" t="str">
        <x:v>line_extrusion</x:v>
      </x:c>
      <x:c r="O224" s="56" t="n">
        <x:v>3200</x:v>
      </x:c>
      <x:c r="P224" s="56" t="n">
        <x:v>3.5</x:v>
      </x:c>
      <x:c r="Q224" s="56" t="n">
        <x:v>0.1</x:v>
      </x:c>
      <x:c r="R224" s="56" t="n">
        <x:v>314</x:v>
      </x:c>
      <x:c r="S224" s="56" t="n">
        <x:v>0.1</x:v>
      </x:c>
      <x:c r="T224" s="52" t="str">
        <x:v>#2563EB</x:v>
      </x:c>
      <x:c r="U224" s="55" t="n">
        <x:v>0.85</x:v>
      </x:c>
      <x:c r="V224" s="58" t="n">
        <x:f>'Funding Categories'!M123</x:f>
        <x:v>792000</x:v>
      </x:c>
      <x:c r="W224" s="52" t="str">
        <x:f>IF(V224&gt;0,"Yes","No")</x:f>
        <x:v>Yes</x:v>
      </x:c>
      <x:c r="X224" s="52" t="str">
        <x:v>dedicated or peak-period transit-priority lane</x:v>
      </x:c>
      <x:c r="Y224" s="52" t="str">
        <x:v>concept_only</x:v>
      </x:c>
      <x:c r="Z224" s="52" t="str">
        <x:v>planning_anchor ±25–100 m</x:v>
      </x:c>
      <x:c r="AA224" s="52" t="str">
        <x:v>engineering_assumption</x:v>
      </x:c>
      <x:c r="AB224" s="52" t="str">
        <x:v>https://www.vta.org/media/37311</x:v>
      </x:c>
    </x:row>
    <x:row r="225">
      <x:c r="A225" s="52" t="str">
        <x:v>sf-bay-signals-TMP</x:v>
      </x:c>
      <x:c r="B225" s="52" t="n">
        <x:v>10</x:v>
      </x:c>
      <x:c r="C225" s="52" t="str">
        <x:v>sf-bay</x:v>
      </x:c>
      <x:c r="D225" s="52" t="str">
        <x:v>San Francisco Bay Area</x:v>
      </x:c>
      <x:c r="E225" s="52" t="str">
        <x:v>signals</x:v>
      </x:c>
      <x:c r="F225" s="52" t="str">
        <x:v>Signal timing plans</x:v>
      </x:c>
      <x:c r="G225" s="52" t="str">
        <x:v>temporary</x:v>
      </x:c>
      <x:c r="H225" s="52" t="str">
        <x:v>sf-tasman-debartolo</x:v>
      </x:c>
      <x:c r="I225" s="52" t="str">
        <x:v>SF-TAS</x:v>
      </x:c>
      <x:c r="J225" s="52" t="str">
        <x:v>Tasman Drive and Marie P. DeBartolo Way east plaza</x:v>
      </x:c>
      <x:c r="K225" s="53" t="n">
        <x:v>37.4035</x:v>
      </x:c>
      <x:c r="L225" s="53" t="n">
        <x:v>-121.9696</x:v>
      </x:c>
      <x:c r="M225" s="56" t="n">
        <x:v>300</x:v>
      </x:c>
      <x:c r="N225" s="56" t="str">
        <x:v>point_model</x:v>
      </x:c>
      <x:c r="O225" s="56" t="n">
        <x:v>1</x:v>
      </x:c>
      <x:c r="P225" s="56" t="n">
        <x:v>1</x:v>
      </x:c>
      <x:c r="Q225" s="56" t="n">
        <x:v>3</x:v>
      </x:c>
      <x:c r="R225" s="56" t="n">
        <x:v>324</x:v>
      </x:c>
      <x:c r="S225" s="56" t="n">
        <x:v>0.05</x:v>
      </x:c>
      <x:c r="T225" s="52" t="str">
        <x:v>#F59E0B</x:v>
      </x:c>
      <x:c r="U225" s="55" t="n">
        <x:v>0.55</x:v>
      </x:c>
      <x:c r="V225" s="58" t="n">
        <x:f>'Funding Categories'!L124</x:f>
        <x:v>90000</x:v>
      </x:c>
      <x:c r="W225" s="52" t="str">
        <x:f>IF(V225&gt;0,"Yes","No")</x:f>
        <x:v>Yes</x:v>
      </x:c>
      <x:c r="X225" s="52" t="str">
        <x:v>police/manual traffic control and temporary timing plan</x:v>
      </x:c>
      <x:c r="Y225" s="52" t="str">
        <x:v>concept_only</x:v>
      </x:c>
      <x:c r="Z225" s="52" t="str">
        <x:v>planning_anchor ±25–100 m</x:v>
      </x:c>
      <x:c r="AA225" s="52" t="str">
        <x:v>engineering_assumption</x:v>
      </x:c>
      <x:c r="AB225" s="52" t="str">
        <x:v>https://www.vta.org/media/37311</x:v>
      </x:c>
    </x:row>
    <x:row r="226">
      <x:c r="A226" s="52" t="str">
        <x:v>sf-bay-signals-PERM</x:v>
      </x:c>
      <x:c r="B226" s="52" t="n">
        <x:v>10</x:v>
      </x:c>
      <x:c r="C226" s="52" t="str">
        <x:v>sf-bay</x:v>
      </x:c>
      <x:c r="D226" s="52" t="str">
        <x:v>San Francisco Bay Area</x:v>
      </x:c>
      <x:c r="E226" s="52" t="str">
        <x:v>signals</x:v>
      </x:c>
      <x:c r="F226" s="52" t="str">
        <x:v>Signal timing plans</x:v>
      </x:c>
      <x:c r="G226" s="52" t="str">
        <x:v>permanent</x:v>
      </x:c>
      <x:c r="H226" s="52" t="str">
        <x:v>sf-tasman-debartolo</x:v>
      </x:c>
      <x:c r="I226" s="52" t="str">
        <x:v>SF-TAS</x:v>
      </x:c>
      <x:c r="J226" s="52" t="str">
        <x:v>Tasman Drive and Marie P. DeBartolo Way east plaza</x:v>
      </x:c>
      <x:c r="K226" s="53" t="n">
        <x:v>37.4035</x:v>
      </x:c>
      <x:c r="L226" s="53" t="n">
        <x:v>-121.9696</x:v>
      </x:c>
      <x:c r="M226" s="56" t="n">
        <x:v>300</x:v>
      </x:c>
      <x:c r="N226" s="56" t="str">
        <x:v>point_model</x:v>
      </x:c>
      <x:c r="O226" s="56" t="n">
        <x:v>1</x:v>
      </x:c>
      <x:c r="P226" s="56" t="n">
        <x:v>1</x:v>
      </x:c>
      <x:c r="Q226" s="56" t="n">
        <x:v>6</x:v>
      </x:c>
      <x:c r="R226" s="56" t="n">
        <x:v>331</x:v>
      </x:c>
      <x:c r="S226" s="56" t="n">
        <x:v>0.1</x:v>
      </x:c>
      <x:c r="T226" s="52" t="str">
        <x:v>#2563EB</x:v>
      </x:c>
      <x:c r="U226" s="55" t="n">
        <x:v>0.85</x:v>
      </x:c>
      <x:c r="V226" s="58" t="n">
        <x:f>'Funding Categories'!M124</x:f>
        <x:v>270000</x:v>
      </x:c>
      <x:c r="W226" s="52" t="str">
        <x:f>IF(V226&gt;0,"Yes","No")</x:f>
        <x:v>Yes</x:v>
      </x:c>
      <x:c r="X226" s="52" t="str">
        <x:v>adaptive controllers and transit signal priority</x:v>
      </x:c>
      <x:c r="Y226" s="52" t="str">
        <x:v>concept_only</x:v>
      </x:c>
      <x:c r="Z226" s="52" t="str">
        <x:v>planning_anchor ±25–100 m</x:v>
      </x:c>
      <x:c r="AA226" s="52" t="str">
        <x:v>engineering_assumption</x:v>
      </x:c>
      <x:c r="AB226" s="52" t="str">
        <x:v>https://www.vta.org/media/37311</x:v>
      </x:c>
    </x:row>
    <x:row r="227">
      <x:c r="A227" s="52" t="str">
        <x:v>sf-bay-hub-TMP</x:v>
      </x:c>
      <x:c r="B227" s="52" t="n">
        <x:v>10</x:v>
      </x:c>
      <x:c r="C227" s="52" t="str">
        <x:v>sf-bay</x:v>
      </x:c>
      <x:c r="D227" s="52" t="str">
        <x:v>San Francisco Bay Area</x:v>
      </x:c>
      <x:c r="E227" s="52" t="str">
        <x:v>hub</x:v>
      </x:c>
      <x:c r="F227" s="52" t="str">
        <x:v>Hub-to-stadium shuttle package</x:v>
      </x:c>
      <x:c r="G227" s="52" t="str">
        <x:v>temporary</x:v>
      </x:c>
      <x:c r="H227" s="52" t="str">
        <x:v>sf-tasman-debartolo</x:v>
      </x:c>
      <x:c r="I227" s="52" t="str">
        <x:v>SF-TAS</x:v>
      </x:c>
      <x:c r="J227" s="52" t="str">
        <x:v>Tasman Drive and Marie P. DeBartolo Way east plaza</x:v>
      </x:c>
      <x:c r="K227" s="53" t="n">
        <x:v>37.4035</x:v>
      </x:c>
      <x:c r="L227" s="53" t="n">
        <x:v>-121.9696</x:v>
      </x:c>
      <x:c r="M227" s="56" t="n">
        <x:v>300</x:v>
      </x:c>
      <x:c r="N227" s="56" t="str">
        <x:v>polygon_extrusion</x:v>
      </x:c>
      <x:c r="O227" s="56" t="n">
        <x:v>90</x:v>
      </x:c>
      <x:c r="P227" s="56" t="n">
        <x:v>60</x:v>
      </x:c>
      <x:c r="Q227" s="56" t="n">
        <x:v>3</x:v>
      </x:c>
      <x:c r="R227" s="56" t="n">
        <x:v>341</x:v>
      </x:c>
      <x:c r="S227" s="56" t="n">
        <x:v>0.05</x:v>
      </x:c>
      <x:c r="T227" s="52" t="str">
        <x:v>#F59E0B</x:v>
      </x:c>
      <x:c r="U227" s="55" t="n">
        <x:v>0.55</x:v>
      </x:c>
      <x:c r="V227" s="58" t="n">
        <x:f>'Funding Categories'!L125</x:f>
        <x:v>300000</x:v>
      </x:c>
      <x:c r="W227" s="52" t="str">
        <x:f>IF(V227&gt;0,"Yes","No")</x:f>
        <x:v>Yes</x:v>
      </x:c>
      <x:c r="X227" s="52" t="str">
        <x:v>pop-up shuttle zone; temporary shelters and dispatch</x:v>
      </x:c>
      <x:c r="Y227" s="52" t="str">
        <x:v>concept_only</x:v>
      </x:c>
      <x:c r="Z227" s="52" t="str">
        <x:v>planning_anchor ±25–100 m</x:v>
      </x:c>
      <x:c r="AA227" s="52" t="str">
        <x:v>engineering_assumption</x:v>
      </x:c>
      <x:c r="AB227" s="52" t="str">
        <x:v>https://www.vta.org/media/37311</x:v>
      </x:c>
    </x:row>
    <x:row r="228">
      <x:c r="A228" s="52" t="str">
        <x:v>sf-bay-hub-PERM</x:v>
      </x:c>
      <x:c r="B228" s="52" t="n">
        <x:v>10</x:v>
      </x:c>
      <x:c r="C228" s="52" t="str">
        <x:v>sf-bay</x:v>
      </x:c>
      <x:c r="D228" s="52" t="str">
        <x:v>San Francisco Bay Area</x:v>
      </x:c>
      <x:c r="E228" s="52" t="str">
        <x:v>hub</x:v>
      </x:c>
      <x:c r="F228" s="52" t="str">
        <x:v>Hub-to-stadium shuttle package</x:v>
      </x:c>
      <x:c r="G228" s="52" t="str">
        <x:v>permanent</x:v>
      </x:c>
      <x:c r="H228" s="52" t="str">
        <x:v>sf-tasman-debartolo</x:v>
      </x:c>
      <x:c r="I228" s="52" t="str">
        <x:v>SF-TAS</x:v>
      </x:c>
      <x:c r="J228" s="52" t="str">
        <x:v>Tasman Drive and Marie P. DeBartolo Way east plaza</x:v>
      </x:c>
      <x:c r="K228" s="53" t="n">
        <x:v>37.4035</x:v>
      </x:c>
      <x:c r="L228" s="53" t="n">
        <x:v>-121.9696</x:v>
      </x:c>
      <x:c r="M228" s="56" t="n">
        <x:v>300</x:v>
      </x:c>
      <x:c r="N228" s="56" t="str">
        <x:v>polygon_extrusion</x:v>
      </x:c>
      <x:c r="O228" s="56" t="n">
        <x:v>90</x:v>
      </x:c>
      <x:c r="P228" s="56" t="n">
        <x:v>60</x:v>
      </x:c>
      <x:c r="Q228" s="56" t="n">
        <x:v>6</x:v>
      </x:c>
      <x:c r="R228" s="56" t="n">
        <x:v>348</x:v>
      </x:c>
      <x:c r="S228" s="56" t="n">
        <x:v>0.1</x:v>
      </x:c>
      <x:c r="T228" s="52" t="str">
        <x:v>#2563EB</x:v>
      </x:c>
      <x:c r="U228" s="55" t="n">
        <x:v>0.85</x:v>
      </x:c>
      <x:c r="V228" s="58" t="n">
        <x:f>'Funding Categories'!M125</x:f>
        <x:v>450000</x:v>
      </x:c>
      <x:c r="W228" s="52" t="str">
        <x:f>IF(V228&gt;0,"Yes","No")</x:f>
        <x:v>Yes</x:v>
      </x:c>
      <x:c r="X228" s="52" t="str">
        <x:v>permanent multimodal mobility hub</x:v>
      </x:c>
      <x:c r="Y228" s="52" t="str">
        <x:v>concept_only</x:v>
      </x:c>
      <x:c r="Z228" s="52" t="str">
        <x:v>planning_anchor ±25–100 m</x:v>
      </x:c>
      <x:c r="AA228" s="52" t="str">
        <x:v>engineering_assumption</x:v>
      </x:c>
      <x:c r="AB228" s="52" t="str">
        <x:v>https://www.vta.org/media/37311</x:v>
      </x:c>
    </x:row>
    <x:row r="229">
      <x:c r="A229" s="52" t="str">
        <x:v>sf-bay-parkride-TMP</x:v>
      </x:c>
      <x:c r="B229" s="52" t="n">
        <x:v>10</x:v>
      </x:c>
      <x:c r="C229" s="52" t="str">
        <x:v>sf-bay</x:v>
      </x:c>
      <x:c r="D229" s="52" t="str">
        <x:v>San Francisco Bay Area</x:v>
      </x:c>
      <x:c r="E229" s="52" t="str">
        <x:v>parkride</x:v>
      </x:c>
      <x:c r="F229" s="52" t="str">
        <x:v>Park-and-ride package</x:v>
      </x:c>
      <x:c r="G229" s="52" t="str">
        <x:v>temporary</x:v>
      </x:c>
      <x:c r="H229" s="52" t="str">
        <x:v>sf-tasman-debartolo</x:v>
      </x:c>
      <x:c r="I229" s="52" t="str">
        <x:v>SF-TAS</x:v>
      </x:c>
      <x:c r="J229" s="52" t="str">
        <x:v>Tasman Drive and Marie P. DeBartolo Way east plaza</x:v>
      </x:c>
      <x:c r="K229" s="53" t="n">
        <x:v>37.4035</x:v>
      </x:c>
      <x:c r="L229" s="53" t="n">
        <x:v>-121.9696</x:v>
      </x:c>
      <x:c r="M229" s="56" t="n">
        <x:v>300</x:v>
      </x:c>
      <x:c r="N229" s="56" t="str">
        <x:v>polygon_extrusion</x:v>
      </x:c>
      <x:c r="O229" s="56" t="n">
        <x:v>220</x:v>
      </x:c>
      <x:c r="P229" s="56" t="n">
        <x:v>150</x:v>
      </x:c>
      <x:c r="Q229" s="56" t="n">
        <x:v>0.2</x:v>
      </x:c>
      <x:c r="R229" s="56" t="n">
        <x:v>358</x:v>
      </x:c>
      <x:c r="S229" s="56" t="n">
        <x:v>0.05</x:v>
      </x:c>
      <x:c r="T229" s="52" t="str">
        <x:v>#F59E0B</x:v>
      </x:c>
      <x:c r="U229" s="55" t="n">
        <x:v>0.55</x:v>
      </x:c>
      <x:c r="V229" s="58" t="n">
        <x:f>'Funding Categories'!L126</x:f>
        <x:v>225000</x:v>
      </x:c>
      <x:c r="W229" s="52" t="str">
        <x:f>IF(V229&gt;0,"Yes","No")</x:f>
        <x:v>Yes</x:v>
      </x:c>
      <x:c r="X229" s="52" t="str">
        <x:v>leased intercept lots and temporary signing</x:v>
      </x:c>
      <x:c r="Y229" s="52" t="str">
        <x:v>concept_only</x:v>
      </x:c>
      <x:c r="Z229" s="52" t="str">
        <x:v>planning_anchor ±25–100 m</x:v>
      </x:c>
      <x:c r="AA229" s="52" t="str">
        <x:v>engineering_assumption</x:v>
      </x:c>
      <x:c r="AB229" s="52" t="str">
        <x:v>https://www.vta.org/media/37311</x:v>
      </x:c>
    </x:row>
    <x:row r="230">
      <x:c r="A230" s="52" t="str">
        <x:v>sf-bay-parkride-PERM</x:v>
      </x:c>
      <x:c r="B230" s="52" t="n">
        <x:v>10</x:v>
      </x:c>
      <x:c r="C230" s="52" t="str">
        <x:v>sf-bay</x:v>
      </x:c>
      <x:c r="D230" s="52" t="str">
        <x:v>San Francisco Bay Area</x:v>
      </x:c>
      <x:c r="E230" s="52" t="str">
        <x:v>parkride</x:v>
      </x:c>
      <x:c r="F230" s="52" t="str">
        <x:v>Park-and-ride package</x:v>
      </x:c>
      <x:c r="G230" s="52" t="str">
        <x:v>permanent</x:v>
      </x:c>
      <x:c r="H230" s="52" t="str">
        <x:v>sf-tasman-debartolo</x:v>
      </x:c>
      <x:c r="I230" s="52" t="str">
        <x:v>SF-TAS</x:v>
      </x:c>
      <x:c r="J230" s="52" t="str">
        <x:v>Tasman Drive and Marie P. DeBartolo Way east plaza</x:v>
      </x:c>
      <x:c r="K230" s="53" t="n">
        <x:v>37.4035</x:v>
      </x:c>
      <x:c r="L230" s="53" t="n">
        <x:v>-121.9696</x:v>
      </x:c>
      <x:c r="M230" s="56" t="n">
        <x:v>300</x:v>
      </x:c>
      <x:c r="N230" s="56" t="str">
        <x:v>polygon_extrusion</x:v>
      </x:c>
      <x:c r="O230" s="56" t="n">
        <x:v>220</x:v>
      </x:c>
      <x:c r="P230" s="56" t="n">
        <x:v>150</x:v>
      </x:c>
      <x:c r="Q230" s="56" t="n">
        <x:v>0.2</x:v>
      </x:c>
      <x:c r="R230" s="56" t="n">
        <x:v>5</x:v>
      </x:c>
      <x:c r="S230" s="56" t="n">
        <x:v>0.1</x:v>
      </x:c>
      <x:c r="T230" s="52" t="str">
        <x:v>#2563EB</x:v>
      </x:c>
      <x:c r="U230" s="55" t="n">
        <x:v>0.85</x:v>
      </x:c>
      <x:c r="V230" s="58" t="n">
        <x:f>'Funding Categories'!M126</x:f>
        <x:v>225000</x:v>
      </x:c>
      <x:c r="W230" s="52" t="str">
        <x:f>IF(V230&gt;0,"Yes","No")</x:f>
        <x:v>Yes</x:v>
      </x:c>
      <x:c r="X230" s="52" t="str">
        <x:v>permanent park-and-ride with charging and transit access</x:v>
      </x:c>
      <x:c r="Y230" s="52" t="str">
        <x:v>concept_only</x:v>
      </x:c>
      <x:c r="Z230" s="52" t="str">
        <x:v>planning_anchor ±25–100 m</x:v>
      </x:c>
      <x:c r="AA230" s="52" t="str">
        <x:v>engineering_assumption</x:v>
      </x:c>
      <x:c r="AB230" s="52" t="str">
        <x:v>https://www.vta.org/media/37311</x:v>
      </x:c>
    </x:row>
    <x:row r="231">
      <x:c r="A231" s="52" t="str">
        <x:v>sf-bay-ped-TMP</x:v>
      </x:c>
      <x:c r="B231" s="52" t="n">
        <x:v>10</x:v>
      </x:c>
      <x:c r="C231" s="52" t="str">
        <x:v>sf-bay</x:v>
      </x:c>
      <x:c r="D231" s="52" t="str">
        <x:v>San Francisco Bay Area</x:v>
      </x:c>
      <x:c r="E231" s="52" t="str">
        <x:v>ped</x:v>
      </x:c>
      <x:c r="F231" s="52" t="str">
        <x:v>Protected pedestrian corridor</x:v>
      </x:c>
      <x:c r="G231" s="52" t="str">
        <x:v>temporary</x:v>
      </x:c>
      <x:c r="H231" s="52" t="str">
        <x:v>sf-great-america-station</x:v>
      </x:c>
      <x:c r="I231" s="52" t="str">
        <x:v>SF-GA</x:v>
      </x:c>
      <x:c r="J231" s="52" t="str">
        <x:v>Great America VTA station platform queue</x:v>
      </x:c>
      <x:c r="K231" s="53" t="n">
        <x:v>37.403468</x:v>
      </x:c>
      <x:c r="L231" s="53" t="n">
        <x:v>-121.974908</x:v>
      </x:c>
      <x:c r="M231" s="56" t="n">
        <x:v>250</x:v>
      </x:c>
      <x:c r="N231" s="56" t="str">
        <x:v>line_extrusion</x:v>
      </x:c>
      <x:c r="O231" s="56" t="n">
        <x:v>1600</x:v>
      </x:c>
      <x:c r="P231" s="56" t="n">
        <x:v>6</x:v>
      </x:c>
      <x:c r="Q231" s="56" t="n">
        <x:v>0.15</x:v>
      </x:c>
      <x:c r="R231" s="56" t="n">
        <x:v>15</x:v>
      </x:c>
      <x:c r="S231" s="56" t="n">
        <x:v>0.05</x:v>
      </x:c>
      <x:c r="T231" s="52" t="str">
        <x:v>#F59E0B</x:v>
      </x:c>
      <x:c r="U231" s="55" t="n">
        <x:v>0.55</x:v>
      </x:c>
      <x:c r="V231" s="58" t="n">
        <x:f>'Funding Categories'!L127</x:f>
        <x:v>0</x:v>
      </x:c>
      <x:c r="W231" s="52" t="str">
        <x:f>IF(V231&gt;0,"Yes","No")</x:f>
        <x:v>No</x:v>
      </x:c>
      <x:c r="X231" s="52" t="str">
        <x:v>barricaded protected corridor; marshals and lighting</x:v>
      </x:c>
      <x:c r="Y231" s="52" t="str">
        <x:v>concept_only</x:v>
      </x:c>
      <x:c r="Z231" s="52" t="str">
        <x:v>planning_anchor ±25–100 m</x:v>
      </x:c>
      <x:c r="AA231" s="52" t="str">
        <x:v>engineering_assumption</x:v>
      </x:c>
      <x:c r="AB231" s="52" t="str">
        <x:v>https://www.vta.org/go/stations/great-america</x:v>
      </x:c>
    </x:row>
    <x:row r="232">
      <x:c r="A232" s="52" t="str">
        <x:v>sf-bay-ped-PERM</x:v>
      </x:c>
      <x:c r="B232" s="52" t="n">
        <x:v>10</x:v>
      </x:c>
      <x:c r="C232" s="52" t="str">
        <x:v>sf-bay</x:v>
      </x:c>
      <x:c r="D232" s="52" t="str">
        <x:v>San Francisco Bay Area</x:v>
      </x:c>
      <x:c r="E232" s="52" t="str">
        <x:v>ped</x:v>
      </x:c>
      <x:c r="F232" s="52" t="str">
        <x:v>Protected pedestrian corridor</x:v>
      </x:c>
      <x:c r="G232" s="52" t="str">
        <x:v>permanent</x:v>
      </x:c>
      <x:c r="H232" s="52" t="str">
        <x:v>sf-great-america-station</x:v>
      </x:c>
      <x:c r="I232" s="52" t="str">
        <x:v>SF-GA</x:v>
      </x:c>
      <x:c r="J232" s="52" t="str">
        <x:v>Great America VTA station platform queue</x:v>
      </x:c>
      <x:c r="K232" s="53" t="n">
        <x:v>37.403468</x:v>
      </x:c>
      <x:c r="L232" s="53" t="n">
        <x:v>-121.974908</x:v>
      </x:c>
      <x:c r="M232" s="56" t="n">
        <x:v>250</x:v>
      </x:c>
      <x:c r="N232" s="56" t="str">
        <x:v>line_extrusion</x:v>
      </x:c>
      <x:c r="O232" s="56" t="n">
        <x:v>1600</x:v>
      </x:c>
      <x:c r="P232" s="56" t="n">
        <x:v>6</x:v>
      </x:c>
      <x:c r="Q232" s="56" t="n">
        <x:v>0.15</x:v>
      </x:c>
      <x:c r="R232" s="56" t="n">
        <x:v>22</x:v>
      </x:c>
      <x:c r="S232" s="56" t="n">
        <x:v>0.1</x:v>
      </x:c>
      <x:c r="T232" s="52" t="str">
        <x:v>#0F766E</x:v>
      </x:c>
      <x:c r="U232" s="55" t="n">
        <x:v>0.85</x:v>
      </x:c>
      <x:c r="V232" s="58" t="n">
        <x:f>'Funding Categories'!M127</x:f>
        <x:v>0</x:v>
      </x:c>
      <x:c r="W232" s="52" t="str">
        <x:f>IF(V232&gt;0,"Yes","No")</x:f>
        <x:v>No</x:v>
      </x:c>
      <x:c r="X232" s="52" t="str">
        <x:v>widened sidewalk; lighting; drainage and separation</x:v>
      </x:c>
      <x:c r="Y232" s="52" t="str">
        <x:v>concept_only</x:v>
      </x:c>
      <x:c r="Z232" s="52" t="str">
        <x:v>planning_anchor ±25–100 m</x:v>
      </x:c>
      <x:c r="AA232" s="52" t="str">
        <x:v>engineering_assumption</x:v>
      </x:c>
      <x:c r="AB232" s="52" t="str">
        <x:v>https://www.vta.org/go/stations/great-america</x:v>
      </x:c>
    </x:row>
    <x:row r="233">
      <x:c r="A233" s="52" t="str">
        <x:v>sf-bay-bike-TMP</x:v>
      </x:c>
      <x:c r="B233" s="52" t="n">
        <x:v>10</x:v>
      </x:c>
      <x:c r="C233" s="52" t="str">
        <x:v>sf-bay</x:v>
      </x:c>
      <x:c r="D233" s="52" t="str">
        <x:v>San Francisco Bay Area</x:v>
      </x:c>
      <x:c r="E233" s="52" t="str">
        <x:v>bike</x:v>
      </x:c>
      <x:c r="F233" s="52" t="str">
        <x:v>Protected bicycle access</x:v>
      </x:c>
      <x:c r="G233" s="52" t="str">
        <x:v>temporary</x:v>
      </x:c>
      <x:c r="H233" s="52" t="str">
        <x:v>sf-great-america-station</x:v>
      </x:c>
      <x:c r="I233" s="52" t="str">
        <x:v>SF-GA</x:v>
      </x:c>
      <x:c r="J233" s="52" t="str">
        <x:v>Great America VTA station platform queue</x:v>
      </x:c>
      <x:c r="K233" s="53" t="n">
        <x:v>37.403468</x:v>
      </x:c>
      <x:c r="L233" s="53" t="n">
        <x:v>-121.974908</x:v>
      </x:c>
      <x:c r="M233" s="56" t="n">
        <x:v>250</x:v>
      </x:c>
      <x:c r="N233" s="56" t="str">
        <x:v>line_extrusion</x:v>
      </x:c>
      <x:c r="O233" s="56" t="n">
        <x:v>3200</x:v>
      </x:c>
      <x:c r="P233" s="56" t="n">
        <x:v>3</x:v>
      </x:c>
      <x:c r="Q233" s="56" t="n">
        <x:v>0.1</x:v>
      </x:c>
      <x:c r="R233" s="56" t="n">
        <x:v>32</x:v>
      </x:c>
      <x:c r="S233" s="56" t="n">
        <x:v>0.05</x:v>
      </x:c>
      <x:c r="T233" s="52" t="str">
        <x:v>#F59E0B</x:v>
      </x:c>
      <x:c r="U233" s="55" t="n">
        <x:v>0.55</x:v>
      </x:c>
      <x:c r="V233" s="58" t="n">
        <x:f>'Funding Categories'!L128</x:f>
        <x:v>0</x:v>
      </x:c>
      <x:c r="W233" s="52" t="str">
        <x:f>IF(V233&gt;0,"Yes","No")</x:f>
        <x:v>No</x:v>
      </x:c>
      <x:c r="X233" s="52" t="str">
        <x:v>pop-up protected lane and attended bike valet</x:v>
      </x:c>
      <x:c r="Y233" s="52" t="str">
        <x:v>concept_only</x:v>
      </x:c>
      <x:c r="Z233" s="52" t="str">
        <x:v>planning_anchor ±25–100 m</x:v>
      </x:c>
      <x:c r="AA233" s="52" t="str">
        <x:v>engineering_assumption</x:v>
      </x:c>
      <x:c r="AB233" s="52" t="str">
        <x:v>https://www.vta.org/go/stations/great-america</x:v>
      </x:c>
    </x:row>
    <x:row r="234">
      <x:c r="A234" s="52" t="str">
        <x:v>sf-bay-bike-PERM</x:v>
      </x:c>
      <x:c r="B234" s="52" t="n">
        <x:v>10</x:v>
      </x:c>
      <x:c r="C234" s="52" t="str">
        <x:v>sf-bay</x:v>
      </x:c>
      <x:c r="D234" s="52" t="str">
        <x:v>San Francisco Bay Area</x:v>
      </x:c>
      <x:c r="E234" s="52" t="str">
        <x:v>bike</x:v>
      </x:c>
      <x:c r="F234" s="52" t="str">
        <x:v>Protected bicycle access</x:v>
      </x:c>
      <x:c r="G234" s="52" t="str">
        <x:v>permanent</x:v>
      </x:c>
      <x:c r="H234" s="52" t="str">
        <x:v>sf-great-america-station</x:v>
      </x:c>
      <x:c r="I234" s="52" t="str">
        <x:v>SF-GA</x:v>
      </x:c>
      <x:c r="J234" s="52" t="str">
        <x:v>Great America VTA station platform queue</x:v>
      </x:c>
      <x:c r="K234" s="53" t="n">
        <x:v>37.403468</x:v>
      </x:c>
      <x:c r="L234" s="53" t="n">
        <x:v>-121.974908</x:v>
      </x:c>
      <x:c r="M234" s="56" t="n">
        <x:v>250</x:v>
      </x:c>
      <x:c r="N234" s="56" t="str">
        <x:v>line_extrusion</x:v>
      </x:c>
      <x:c r="O234" s="56" t="n">
        <x:v>3200</x:v>
      </x:c>
      <x:c r="P234" s="56" t="n">
        <x:v>3</x:v>
      </x:c>
      <x:c r="Q234" s="56" t="n">
        <x:v>0.1</x:v>
      </x:c>
      <x:c r="R234" s="56" t="n">
        <x:v>39</x:v>
      </x:c>
      <x:c r="S234" s="56" t="n">
        <x:v>0.1</x:v>
      </x:c>
      <x:c r="T234" s="52" t="str">
        <x:v>#0F766E</x:v>
      </x:c>
      <x:c r="U234" s="55" t="n">
        <x:v>0.85</x:v>
      </x:c>
      <x:c r="V234" s="58" t="n">
        <x:f>'Funding Categories'!M128</x:f>
        <x:v>0</x:v>
      </x:c>
      <x:c r="W234" s="52" t="str">
        <x:f>IF(V234&gt;0,"Yes","No")</x:f>
        <x:v>No</x:v>
      </x:c>
      <x:c r="X234" s="52" t="str">
        <x:v>protected bikeway and secure long-term parking</x:v>
      </x:c>
      <x:c r="Y234" s="52" t="str">
        <x:v>concept_only</x:v>
      </x:c>
      <x:c r="Z234" s="52" t="str">
        <x:v>planning_anchor ±25–100 m</x:v>
      </x:c>
      <x:c r="AA234" s="52" t="str">
        <x:v>engineering_assumption</x:v>
      </x:c>
      <x:c r="AB234" s="52" t="str">
        <x:v>https://www.vta.org/go/stations/great-america</x:v>
      </x:c>
    </x:row>
    <x:row r="235">
      <x:c r="A235" s="52" t="str">
        <x:v>sf-bay-tnc-TMP</x:v>
      </x:c>
      <x:c r="B235" s="52" t="n">
        <x:v>10</x:v>
      </x:c>
      <x:c r="C235" s="52" t="str">
        <x:v>sf-bay</x:v>
      </x:c>
      <x:c r="D235" s="52" t="str">
        <x:v>San Francisco Bay Area</x:v>
      </x:c>
      <x:c r="E235" s="52" t="str">
        <x:v>tnc</x:v>
      </x:c>
      <x:c r="F235" s="52" t="str">
        <x:v>Managed rideshare hub</x:v>
      </x:c>
      <x:c r="G235" s="52" t="str">
        <x:v>temporary</x:v>
      </x:c>
      <x:c r="H235" s="52" t="str">
        <x:v>sf-tasman-debartolo</x:v>
      </x:c>
      <x:c r="I235" s="52" t="str">
        <x:v>SF-TAS</x:v>
      </x:c>
      <x:c r="J235" s="52" t="str">
        <x:v>Tasman Drive and Marie P. DeBartolo Way east plaza</x:v>
      </x:c>
      <x:c r="K235" s="53" t="n">
        <x:v>37.4035</x:v>
      </x:c>
      <x:c r="L235" s="53" t="n">
        <x:v>-121.9696</x:v>
      </x:c>
      <x:c r="M235" s="56" t="n">
        <x:v>300</x:v>
      </x:c>
      <x:c r="N235" s="56" t="str">
        <x:v>polygon_extrusion</x:v>
      </x:c>
      <x:c r="O235" s="56" t="n">
        <x:v>70</x:v>
      </x:c>
      <x:c r="P235" s="56" t="n">
        <x:v>45</x:v>
      </x:c>
      <x:c r="Q235" s="56" t="n">
        <x:v>0.2</x:v>
      </x:c>
      <x:c r="R235" s="56" t="n">
        <x:v>49</x:v>
      </x:c>
      <x:c r="S235" s="56" t="n">
        <x:v>0.05</x:v>
      </x:c>
      <x:c r="T235" s="52" t="str">
        <x:v>#F59E0B</x:v>
      </x:c>
      <x:c r="U235" s="55" t="n">
        <x:v>0.55</x:v>
      </x:c>
      <x:c r="V235" s="58" t="n">
        <x:f>'Funding Categories'!L129</x:f>
        <x:v>400000</x:v>
      </x:c>
      <x:c r="W235" s="52" t="str">
        <x:f>IF(V235&gt;0,"Yes","No")</x:f>
        <x:v>Yes</x:v>
      </x:c>
      <x:c r="X235" s="52" t="str">
        <x:v>staffed geofenced pickup with temporary lane control</x:v>
      </x:c>
      <x:c r="Y235" s="52" t="str">
        <x:v>concept_only</x:v>
      </x:c>
      <x:c r="Z235" s="52" t="str">
        <x:v>planning_anchor ±25–100 m</x:v>
      </x:c>
      <x:c r="AA235" s="52" t="str">
        <x:v>engineering_assumption</x:v>
      </x:c>
      <x:c r="AB235" s="52" t="str">
        <x:v>https://www.vta.org/media/37311</x:v>
      </x:c>
    </x:row>
    <x:row r="236">
      <x:c r="A236" s="52" t="str">
        <x:v>sf-bay-tnc-PERM</x:v>
      </x:c>
      <x:c r="B236" s="52" t="n">
        <x:v>10</x:v>
      </x:c>
      <x:c r="C236" s="52" t="str">
        <x:v>sf-bay</x:v>
      </x:c>
      <x:c r="D236" s="52" t="str">
        <x:v>San Francisco Bay Area</x:v>
      </x:c>
      <x:c r="E236" s="52" t="str">
        <x:v>tnc</x:v>
      </x:c>
      <x:c r="F236" s="52" t="str">
        <x:v>Managed rideshare hub</x:v>
      </x:c>
      <x:c r="G236" s="52" t="str">
        <x:v>permanent</x:v>
      </x:c>
      <x:c r="H236" s="52" t="str">
        <x:v>sf-tasman-debartolo</x:v>
      </x:c>
      <x:c r="I236" s="52" t="str">
        <x:v>SF-TAS</x:v>
      </x:c>
      <x:c r="J236" s="52" t="str">
        <x:v>Tasman Drive and Marie P. DeBartolo Way east plaza</x:v>
      </x:c>
      <x:c r="K236" s="53" t="n">
        <x:v>37.4035</x:v>
      </x:c>
      <x:c r="L236" s="53" t="n">
        <x:v>-121.9696</x:v>
      </x:c>
      <x:c r="M236" s="56" t="n">
        <x:v>300</x:v>
      </x:c>
      <x:c r="N236" s="56" t="str">
        <x:v>polygon_extrusion</x:v>
      </x:c>
      <x:c r="O236" s="56" t="n">
        <x:v>70</x:v>
      </x:c>
      <x:c r="P236" s="56" t="n">
        <x:v>45</x:v>
      </x:c>
      <x:c r="Q236" s="56" t="n">
        <x:v>0.2</x:v>
      </x:c>
      <x:c r="R236" s="56" t="n">
        <x:v>56</x:v>
      </x:c>
      <x:c r="S236" s="56" t="n">
        <x:v>0.1</x:v>
      </x:c>
      <x:c r="T236" s="52" t="str">
        <x:v>#2563EB</x:v>
      </x:c>
      <x:c r="U236" s="55" t="n">
        <x:v>0.85</x:v>
      </x:c>
      <x:c r="V236" s="58" t="n">
        <x:f>'Funding Categories'!M129</x:f>
        <x:v>400000</x:v>
      </x:c>
      <x:c r="W236" s="52" t="str">
        <x:f>IF(V236&gt;0,"Yes","No")</x:f>
        <x:v>Yes</x:v>
      </x:c>
      <x:c r="X236" s="52" t="str">
        <x:v>off-street rideshare hub with accessible bays</x:v>
      </x:c>
      <x:c r="Y236" s="52" t="str">
        <x:v>concept_only</x:v>
      </x:c>
      <x:c r="Z236" s="52" t="str">
        <x:v>planning_anchor ±25–100 m</x:v>
      </x:c>
      <x:c r="AA236" s="52" t="str">
        <x:v>engineering_assumption</x:v>
      </x:c>
      <x:c r="AB236" s="52" t="str">
        <x:v>https://www.vta.org/media/37311</x:v>
      </x:c>
    </x:row>
    <x:row r="237">
      <x:c r="A237" s="52" t="str">
        <x:v>sf-bay-wayfinding-TMP</x:v>
      </x:c>
      <x:c r="B237" s="52" t="n">
        <x:v>10</x:v>
      </x:c>
      <x:c r="C237" s="52" t="str">
        <x:v>sf-bay</x:v>
      </x:c>
      <x:c r="D237" s="52" t="str">
        <x:v>San Francisco Bay Area</x:v>
      </x:c>
      <x:c r="E237" s="52" t="str">
        <x:v>wayfinding</x:v>
      </x:c>
      <x:c r="F237" s="52" t="str">
        <x:v>Multilingual wayfinding</x:v>
      </x:c>
      <x:c r="G237" s="52" t="str">
        <x:v>temporary</x:v>
      </x:c>
      <x:c r="H237" s="52" t="str">
        <x:v>sf-great-america-station</x:v>
      </x:c>
      <x:c r="I237" s="52" t="str">
        <x:v>SF-GA</x:v>
      </x:c>
      <x:c r="J237" s="52" t="str">
        <x:v>Great America VTA station platform queue</x:v>
      </x:c>
      <x:c r="K237" s="53" t="n">
        <x:v>37.403468</x:v>
      </x:c>
      <x:c r="L237" s="53" t="n">
        <x:v>-121.974908</x:v>
      </x:c>
      <x:c r="M237" s="56" t="n">
        <x:v>250</x:v>
      </x:c>
      <x:c r="N237" s="56" t="str">
        <x:v>point_model</x:v>
      </x:c>
      <x:c r="O237" s="56" t="n">
        <x:v>1</x:v>
      </x:c>
      <x:c r="P237" s="56" t="n">
        <x:v>1</x:v>
      </x:c>
      <x:c r="Q237" s="56" t="n">
        <x:v>2.5</x:v>
      </x:c>
      <x:c r="R237" s="56" t="n">
        <x:v>66</x:v>
      </x:c>
      <x:c r="S237" s="56" t="n">
        <x:v>0.05</x:v>
      </x:c>
      <x:c r="T237" s="52" t="str">
        <x:v>#F59E0B</x:v>
      </x:c>
      <x:c r="U237" s="55" t="n">
        <x:v>0.55</x:v>
      </x:c>
      <x:c r="V237" s="58" t="n">
        <x:f>'Funding Categories'!L130</x:f>
        <x:v>270000</x:v>
      </x:c>
      <x:c r="W237" s="52" t="str">
        <x:f>IF(V237&gt;0,"Yes","No")</x:f>
        <x:v>Yes</x:v>
      </x:c>
      <x:c r="X237" s="52" t="str">
        <x:v>portable signs; digital messages; multilingual ambassadors</x:v>
      </x:c>
      <x:c r="Y237" s="52" t="str">
        <x:v>concept_only</x:v>
      </x:c>
      <x:c r="Z237" s="52" t="str">
        <x:v>planning_anchor ±25–100 m</x:v>
      </x:c>
      <x:c r="AA237" s="52" t="str">
        <x:v>engineering_assumption</x:v>
      </x:c>
      <x:c r="AB237" s="52" t="str">
        <x:v>https://www.vta.org/go/stations/great-america</x:v>
      </x:c>
    </x:row>
    <x:row r="238">
      <x:c r="A238" s="52" t="str">
        <x:v>sf-bay-wayfinding-PERM</x:v>
      </x:c>
      <x:c r="B238" s="52" t="n">
        <x:v>10</x:v>
      </x:c>
      <x:c r="C238" s="52" t="str">
        <x:v>sf-bay</x:v>
      </x:c>
      <x:c r="D238" s="52" t="str">
        <x:v>San Francisco Bay Area</x:v>
      </x:c>
      <x:c r="E238" s="52" t="str">
        <x:v>wayfinding</x:v>
      </x:c>
      <x:c r="F238" s="52" t="str">
        <x:v>Multilingual wayfinding</x:v>
      </x:c>
      <x:c r="G238" s="52" t="str">
        <x:v>permanent</x:v>
      </x:c>
      <x:c r="H238" s="52" t="str">
        <x:v>sf-great-america-station</x:v>
      </x:c>
      <x:c r="I238" s="52" t="str">
        <x:v>SF-GA</x:v>
      </x:c>
      <x:c r="J238" s="52" t="str">
        <x:v>Great America VTA station platform queue</x:v>
      </x:c>
      <x:c r="K238" s="53" t="n">
        <x:v>37.403468</x:v>
      </x:c>
      <x:c r="L238" s="53" t="n">
        <x:v>-121.974908</x:v>
      </x:c>
      <x:c r="M238" s="56" t="n">
        <x:v>250</x:v>
      </x:c>
      <x:c r="N238" s="56" t="str">
        <x:v>point_model</x:v>
      </x:c>
      <x:c r="O238" s="56" t="n">
        <x:v>1</x:v>
      </x:c>
      <x:c r="P238" s="56" t="n">
        <x:v>1</x:v>
      </x:c>
      <x:c r="Q238" s="56" t="n">
        <x:v>4</x:v>
      </x:c>
      <x:c r="R238" s="56" t="n">
        <x:v>73</x:v>
      </x:c>
      <x:c r="S238" s="56" t="n">
        <x:v>0.1</x:v>
      </x:c>
      <x:c r="T238" s="52" t="str">
        <x:v>#2563EB</x:v>
      </x:c>
      <x:c r="U238" s="55" t="n">
        <x:v>0.85</x:v>
      </x:c>
      <x:c r="V238" s="58" t="n">
        <x:f>'Funding Categories'!M130</x:f>
        <x:v>330000</x:v>
      </x:c>
      <x:c r="W238" s="52" t="str">
        <x:f>IF(V238&gt;0,"Yes","No")</x:f>
        <x:v>Yes</x:v>
      </x:c>
      <x:c r="X238" s="52" t="str">
        <x:v>fixed multilingual physical and digital wayfinding</x:v>
      </x:c>
      <x:c r="Y238" s="52" t="str">
        <x:v>concept_only</x:v>
      </x:c>
      <x:c r="Z238" s="52" t="str">
        <x:v>planning_anchor ±25–100 m</x:v>
      </x:c>
      <x:c r="AA238" s="52" t="str">
        <x:v>engineering_assumption</x:v>
      </x:c>
      <x:c r="AB238" s="52" t="str">
        <x:v>https://www.vta.org/go/stations/great-america</x:v>
      </x:c>
    </x:row>
    <x:row r="239">
      <x:c r="A239" s="52" t="str">
        <x:v>sf-bay-station-TMP</x:v>
      </x:c>
      <x:c r="B239" s="52" t="n">
        <x:v>10</x:v>
      </x:c>
      <x:c r="C239" s="52" t="str">
        <x:v>sf-bay</x:v>
      </x:c>
      <x:c r="D239" s="52" t="str">
        <x:v>San Francisco Bay Area</x:v>
      </x:c>
      <x:c r="E239" s="52" t="str">
        <x:v>station</x:v>
      </x:c>
      <x:c r="F239" s="52" t="str">
        <x:v>Station-capacity package</x:v>
      </x:c>
      <x:c r="G239" s="52" t="str">
        <x:v>temporary</x:v>
      </x:c>
      <x:c r="H239" s="52" t="str">
        <x:v>sf-great-america-station</x:v>
      </x:c>
      <x:c r="I239" s="52" t="str">
        <x:v>SF-GA</x:v>
      </x:c>
      <x:c r="J239" s="52" t="str">
        <x:v>Great America VTA station platform queue</x:v>
      </x:c>
      <x:c r="K239" s="53" t="n">
        <x:v>37.403468</x:v>
      </x:c>
      <x:c r="L239" s="53" t="n">
        <x:v>-121.974908</x:v>
      </x:c>
      <x:c r="M239" s="56" t="n">
        <x:v>250</x:v>
      </x:c>
      <x:c r="N239" s="56" t="str">
        <x:v>glb_model</x:v>
      </x:c>
      <x:c r="O239" s="56" t="n">
        <x:v>120</x:v>
      </x:c>
      <x:c r="P239" s="56" t="n">
        <x:v>45</x:v>
      </x:c>
      <x:c r="Q239" s="56" t="n">
        <x:v>6</x:v>
      </x:c>
      <x:c r="R239" s="56" t="n">
        <x:v>83</x:v>
      </x:c>
      <x:c r="S239" s="56" t="n">
        <x:v>0.05</x:v>
      </x:c>
      <x:c r="T239" s="52" t="str">
        <x:v>#F59E0B</x:v>
      </x:c>
      <x:c r="U239" s="55" t="n">
        <x:v>0.55</x:v>
      </x:c>
      <x:c r="V239" s="58" t="n">
        <x:f>'Funding Categories'!L131</x:f>
        <x:v>250000</x:v>
      </x:c>
      <x:c r="W239" s="52" t="str">
        <x:f>IF(V239&gt;0,"Yes","No")</x:f>
        <x:v>Yes</x:v>
      </x:c>
      <x:c r="X239" s="52" t="str">
        <x:v>temporary gates; queue barriers; portable fare equipment</x:v>
      </x:c>
      <x:c r="Y239" s="52" t="str">
        <x:v>concept_only</x:v>
      </x:c>
      <x:c r="Z239" s="52" t="str">
        <x:v>planning_anchor ±25–100 m</x:v>
      </x:c>
      <x:c r="AA239" s="52" t="str">
        <x:v>engineering_assumption</x:v>
      </x:c>
      <x:c r="AB239" s="52" t="str">
        <x:v>https://www.vta.org/go/stations/great-america</x:v>
      </x:c>
    </x:row>
    <x:row r="240">
      <x:c r="A240" s="52" t="str">
        <x:v>sf-bay-station-PERM</x:v>
      </x:c>
      <x:c r="B240" s="52" t="n">
        <x:v>10</x:v>
      </x:c>
      <x:c r="C240" s="52" t="str">
        <x:v>sf-bay</x:v>
      </x:c>
      <x:c r="D240" s="52" t="str">
        <x:v>San Francisco Bay Area</x:v>
      </x:c>
      <x:c r="E240" s="52" t="str">
        <x:v>station</x:v>
      </x:c>
      <x:c r="F240" s="52" t="str">
        <x:v>Station-capacity package</x:v>
      </x:c>
      <x:c r="G240" s="52" t="str">
        <x:v>permanent</x:v>
      </x:c>
      <x:c r="H240" s="52" t="str">
        <x:v>sf-great-america-station</x:v>
      </x:c>
      <x:c r="I240" s="52" t="str">
        <x:v>SF-GA</x:v>
      </x:c>
      <x:c r="J240" s="52" t="str">
        <x:v>Great America VTA station platform queue</x:v>
      </x:c>
      <x:c r="K240" s="53" t="n">
        <x:v>37.403468</x:v>
      </x:c>
      <x:c r="L240" s="53" t="n">
        <x:v>-121.974908</x:v>
      </x:c>
      <x:c r="M240" s="56" t="n">
        <x:v>250</x:v>
      </x:c>
      <x:c r="N240" s="56" t="str">
        <x:v>glb_model</x:v>
      </x:c>
      <x:c r="O240" s="56" t="n">
        <x:v>120</x:v>
      </x:c>
      <x:c r="P240" s="56" t="n">
        <x:v>45</x:v>
      </x:c>
      <x:c r="Q240" s="56" t="n">
        <x:v>18</x:v>
      </x:c>
      <x:c r="R240" s="56" t="n">
        <x:v>90</x:v>
      </x:c>
      <x:c r="S240" s="56" t="n">
        <x:v>0.1</x:v>
      </x:c>
      <x:c r="T240" s="52" t="str">
        <x:v>#2563EB</x:v>
      </x:c>
      <x:c r="U240" s="55" t="n">
        <x:v>0.85</x:v>
      </x:c>
      <x:c r="V240" s="58" t="n">
        <x:f>'Funding Categories'!M131</x:f>
        <x:v>1000000</x:v>
      </x:c>
      <x:c r="W240" s="52" t="str">
        <x:f>IF(V240&gt;0,"Yes","No")</x:f>
        <x:v>Yes</x:v>
      </x:c>
      <x:c r="X240" s="52" t="str">
        <x:v>platform, entry and circulation expansion</x:v>
      </x:c>
      <x:c r="Y240" s="52" t="str">
        <x:v>concept_only</x:v>
      </x:c>
      <x:c r="Z240" s="52" t="str">
        <x:v>planning_anchor ±25–100 m</x:v>
      </x:c>
      <x:c r="AA240" s="52" t="str">
        <x:v>engineering_assumption</x:v>
      </x:c>
      <x:c r="AB240" s="52" t="str">
        <x:v>https://www.vta.org/go/stations/great-america</x:v>
      </x:c>
    </x:row>
    <x:row r="241">
      <x:c r="A241" s="52" t="str">
        <x:v>sf-bay-toc-TMP</x:v>
      </x:c>
      <x:c r="B241" s="52" t="n">
        <x:v>10</x:v>
      </x:c>
      <x:c r="C241" s="52" t="str">
        <x:v>sf-bay</x:v>
      </x:c>
      <x:c r="D241" s="52" t="str">
        <x:v>San Francisco Bay Area</x:v>
      </x:c>
      <x:c r="E241" s="52" t="str">
        <x:v>toc</x:v>
      </x:c>
      <x:c r="F241" s="52" t="str">
        <x:v>Integrated traffic operations</x:v>
      </x:c>
      <x:c r="G241" s="52" t="str">
        <x:v>temporary</x:v>
      </x:c>
      <x:c r="H241" s="52" t="str">
        <x:v>sf-tasman-debartolo</x:v>
      </x:c>
      <x:c r="I241" s="52" t="str">
        <x:v>SF-TAS</x:v>
      </x:c>
      <x:c r="J241" s="52" t="str">
        <x:v>Tasman Drive and Marie P. DeBartolo Way east plaza</x:v>
      </x:c>
      <x:c r="K241" s="53" t="n">
        <x:v>37.4035</x:v>
      </x:c>
      <x:c r="L241" s="53" t="n">
        <x:v>-121.9696</x:v>
      </x:c>
      <x:c r="M241" s="56" t="n">
        <x:v>300</x:v>
      </x:c>
      <x:c r="N241" s="56" t="str">
        <x:v>glb_model</x:v>
      </x:c>
      <x:c r="O241" s="56" t="n">
        <x:v>60</x:v>
      </x:c>
      <x:c r="P241" s="56" t="n">
        <x:v>40</x:v>
      </x:c>
      <x:c r="Q241" s="56" t="n">
        <x:v>4</x:v>
      </x:c>
      <x:c r="R241" s="56" t="n">
        <x:v>100</x:v>
      </x:c>
      <x:c r="S241" s="56" t="n">
        <x:v>0.05</x:v>
      </x:c>
      <x:c r="T241" s="52" t="str">
        <x:v>#F59E0B</x:v>
      </x:c>
      <x:c r="U241" s="55" t="n">
        <x:v>0.55</x:v>
      </x:c>
      <x:c r="V241" s="58" t="n">
        <x:f>'Funding Categories'!L132</x:f>
        <x:v>375000</x:v>
      </x:c>
      <x:c r="W241" s="52" t="str">
        <x:f>IF(V241&gt;0,"Yes","No")</x:f>
        <x:v>Yes</x:v>
      </x:c>
      <x:c r="X241" s="52" t="str">
        <x:v>unified incident command and temporary sensor feeds</x:v>
      </x:c>
      <x:c r="Y241" s="52" t="str">
        <x:v>concept_only</x:v>
      </x:c>
      <x:c r="Z241" s="52" t="str">
        <x:v>planning_anchor ±25–100 m</x:v>
      </x:c>
      <x:c r="AA241" s="52" t="str">
        <x:v>engineering_assumption</x:v>
      </x:c>
      <x:c r="AB241" s="52" t="str">
        <x:v>https://www.vta.org/media/37311</x:v>
      </x:c>
    </x:row>
    <x:row r="242">
      <x:c r="A242" s="52" t="str">
        <x:v>sf-bay-toc-PERM</x:v>
      </x:c>
      <x:c r="B242" s="52" t="n">
        <x:v>10</x:v>
      </x:c>
      <x:c r="C242" s="52" t="str">
        <x:v>sf-bay</x:v>
      </x:c>
      <x:c r="D242" s="52" t="str">
        <x:v>San Francisco Bay Area</x:v>
      </x:c>
      <x:c r="E242" s="52" t="str">
        <x:v>toc</x:v>
      </x:c>
      <x:c r="F242" s="52" t="str">
        <x:v>Integrated traffic operations</x:v>
      </x:c>
      <x:c r="G242" s="52" t="str">
        <x:v>permanent</x:v>
      </x:c>
      <x:c r="H242" s="52" t="str">
        <x:v>sf-tasman-debartolo</x:v>
      </x:c>
      <x:c r="I242" s="52" t="str">
        <x:v>SF-TAS</x:v>
      </x:c>
      <x:c r="J242" s="52" t="str">
        <x:v>Tasman Drive and Marie P. DeBartolo Way east plaza</x:v>
      </x:c>
      <x:c r="K242" s="53" t="n">
        <x:v>37.4035</x:v>
      </x:c>
      <x:c r="L242" s="53" t="n">
        <x:v>-121.9696</x:v>
      </x:c>
      <x:c r="M242" s="56" t="n">
        <x:v>300</x:v>
      </x:c>
      <x:c r="N242" s="56" t="str">
        <x:v>glb_model</x:v>
      </x:c>
      <x:c r="O242" s="56" t="n">
        <x:v>60</x:v>
      </x:c>
      <x:c r="P242" s="56" t="n">
        <x:v>40</x:v>
      </x:c>
      <x:c r="Q242" s="56" t="n">
        <x:v>12</x:v>
      </x:c>
      <x:c r="R242" s="56" t="n">
        <x:v>107</x:v>
      </x:c>
      <x:c r="S242" s="56" t="n">
        <x:v>0.1</x:v>
      </x:c>
      <x:c r="T242" s="52" t="str">
        <x:v>#2563EB</x:v>
      </x:c>
      <x:c r="U242" s="55" t="n">
        <x:v>0.85</x:v>
      </x:c>
      <x:c r="V242" s="58" t="n">
        <x:f>'Funding Categories'!M132</x:f>
        <x:v>1125000</x:v>
      </x:c>
      <x:c r="W242" s="52" t="str">
        <x:f>IF(V242&gt;0,"Yes","No")</x:f>
        <x:v>Yes</x:v>
      </x:c>
      <x:c r="X242" s="52" t="str">
        <x:v>integrated operations center and adaptive dispatch</x:v>
      </x:c>
      <x:c r="Y242" s="52" t="str">
        <x:v>concept_only</x:v>
      </x:c>
      <x:c r="Z242" s="52" t="str">
        <x:v>planning_anchor ±25–100 m</x:v>
      </x:c>
      <x:c r="AA242" s="52" t="str">
        <x:v>engineering_assumption</x:v>
      </x:c>
      <x:c r="AB242" s="52" t="str">
        <x:v>https://www.vta.org/media/37311</x:v>
      </x:c>
    </x:row>
    <x:row r="243">
      <x:c r="A243" s="52" t="str">
        <x:v>sf-bay-access-TMP</x:v>
      </x:c>
      <x:c r="B243" s="52" t="n">
        <x:v>10</x:v>
      </x:c>
      <x:c r="C243" s="52" t="str">
        <x:v>sf-bay</x:v>
      </x:c>
      <x:c r="D243" s="52" t="str">
        <x:v>San Francisco Bay Area</x:v>
      </x:c>
      <x:c r="E243" s="52" t="str">
        <x:v>access</x:v>
      </x:c>
      <x:c r="F243" s="52" t="str">
        <x:v>ADA/microtransit access</x:v>
      </x:c>
      <x:c r="G243" s="52" t="str">
        <x:v>temporary</x:v>
      </x:c>
      <x:c r="H243" s="52" t="str">
        <x:v>sf-great-america-station</x:v>
      </x:c>
      <x:c r="I243" s="52" t="str">
        <x:v>SF-GA</x:v>
      </x:c>
      <x:c r="J243" s="52" t="str">
        <x:v>Great America VTA station platform queue</x:v>
      </x:c>
      <x:c r="K243" s="53" t="n">
        <x:v>37.403468</x:v>
      </x:c>
      <x:c r="L243" s="53" t="n">
        <x:v>-121.974908</x:v>
      </x:c>
      <x:c r="M243" s="56" t="n">
        <x:v>250</x:v>
      </x:c>
      <x:c r="N243" s="56" t="str">
        <x:v>line_extrusion</x:v>
      </x:c>
      <x:c r="O243" s="56" t="n">
        <x:v>800</x:v>
      </x:c>
      <x:c r="P243" s="56" t="n">
        <x:v>3</x:v>
      </x:c>
      <x:c r="Q243" s="56" t="n">
        <x:v>0.1</x:v>
      </x:c>
      <x:c r="R243" s="56" t="n">
        <x:v>117</x:v>
      </x:c>
      <x:c r="S243" s="56" t="n">
        <x:v>0.05</x:v>
      </x:c>
      <x:c r="T243" s="52" t="str">
        <x:v>#F59E0B</x:v>
      </x:c>
      <x:c r="U243" s="55" t="n">
        <x:v>0.55</x:v>
      </x:c>
      <x:c r="V243" s="58" t="n">
        <x:f>'Funding Categories'!L133</x:f>
        <x:v>0</x:v>
      </x:c>
      <x:c r="W243" s="52" t="str">
        <x:f>IF(V243&gt;0,"Yes","No")</x:f>
        <x:v>No</x:v>
      </x:c>
      <x:c r="X243" s="52" t="str">
        <x:v>accessible shuttles; temporary ramps and staffed assistance</x:v>
      </x:c>
      <x:c r="Y243" s="52" t="str">
        <x:v>concept_only</x:v>
      </x:c>
      <x:c r="Z243" s="52" t="str">
        <x:v>planning_anchor ±25–100 m</x:v>
      </x:c>
      <x:c r="AA243" s="52" t="str">
        <x:v>engineering_assumption</x:v>
      </x:c>
      <x:c r="AB243" s="52" t="str">
        <x:v>https://www.vta.org/go/stations/great-america</x:v>
      </x:c>
    </x:row>
    <x:row r="244">
      <x:c r="A244" s="52" t="str">
        <x:v>sf-bay-access-PERM</x:v>
      </x:c>
      <x:c r="B244" s="52" t="n">
        <x:v>10</x:v>
      </x:c>
      <x:c r="C244" s="52" t="str">
        <x:v>sf-bay</x:v>
      </x:c>
      <x:c r="D244" s="52" t="str">
        <x:v>San Francisco Bay Area</x:v>
      </x:c>
      <x:c r="E244" s="52" t="str">
        <x:v>access</x:v>
      </x:c>
      <x:c r="F244" s="52" t="str">
        <x:v>ADA/microtransit access</x:v>
      </x:c>
      <x:c r="G244" s="52" t="str">
        <x:v>permanent</x:v>
      </x:c>
      <x:c r="H244" s="52" t="str">
        <x:v>sf-great-america-station</x:v>
      </x:c>
      <x:c r="I244" s="52" t="str">
        <x:v>SF-GA</x:v>
      </x:c>
      <x:c r="J244" s="52" t="str">
        <x:v>Great America VTA station platform queue</x:v>
      </x:c>
      <x:c r="K244" s="53" t="n">
        <x:v>37.403468</x:v>
      </x:c>
      <x:c r="L244" s="53" t="n">
        <x:v>-121.974908</x:v>
      </x:c>
      <x:c r="M244" s="56" t="n">
        <x:v>250</x:v>
      </x:c>
      <x:c r="N244" s="56" t="str">
        <x:v>line_extrusion</x:v>
      </x:c>
      <x:c r="O244" s="56" t="n">
        <x:v>800</x:v>
      </x:c>
      <x:c r="P244" s="56" t="n">
        <x:v>3</x:v>
      </x:c>
      <x:c r="Q244" s="56" t="n">
        <x:v>0.1</x:v>
      </x:c>
      <x:c r="R244" s="56" t="n">
        <x:v>124</x:v>
      </x:c>
      <x:c r="S244" s="56" t="n">
        <x:v>0.1</x:v>
      </x:c>
      <x:c r="T244" s="52" t="str">
        <x:v>#2563EB</x:v>
      </x:c>
      <x:c r="U244" s="55" t="n">
        <x:v>0.85</x:v>
      </x:c>
      <x:c r="V244" s="58" t="n">
        <x:f>'Funding Categories'!M133</x:f>
        <x:v>0</x:v>
      </x:c>
      <x:c r="W244" s="52" t="str">
        <x:f>IF(V244&gt;0,"Yes","No")</x:f>
        <x:v>No</x:v>
      </x:c>
      <x:c r="X244" s="52" t="str">
        <x:v>ADA ramps; tactile guidance; accessible first/last-mile network</x:v>
      </x:c>
      <x:c r="Y244" s="52" t="str">
        <x:v>concept_only</x:v>
      </x:c>
      <x:c r="Z244" s="52" t="str">
        <x:v>planning_anchor ±25–100 m</x:v>
      </x:c>
      <x:c r="AA244" s="52" t="str">
        <x:v>engineering_assumption</x:v>
      </x:c>
      <x:c r="AB244" s="52" t="str">
        <x:v>https://www.vta.org/go/stations/great-america</x:v>
      </x:c>
    </x:row>
    <x:row r="245">
      <x:c r="A245" s="52" t="str">
        <x:v>seattle-service-TMP</x:v>
      </x:c>
      <x:c r="B245" s="52" t="n">
        <x:v>11</x:v>
      </x:c>
      <x:c r="C245" s="52" t="str">
        <x:v>seattle</x:v>
      </x:c>
      <x:c r="D245" s="52" t="str">
        <x:v>Seattle</x:v>
      </x:c>
      <x:c r="E245" s="52" t="str">
        <x:v>service</x:v>
      </x:c>
      <x:c r="F245" s="52" t="str">
        <x:v>Extra transit service</x:v>
      </x:c>
      <x:c r="G245" s="52" t="str">
        <x:v>temporary</x:v>
      </x:c>
      <x:c r="H245" s="52" t="str">
        <x:v>sea-stadium-station</x:v>
      </x:c>
      <x:c r="I245" s="52" t="str">
        <x:v>SEA-STA</x:v>
      </x:c>
      <x:c r="J245" s="52" t="str">
        <x:v>Stadium Station and Royal Brougham Way approach</x:v>
      </x:c>
      <x:c r="K245" s="53" t="n">
        <x:v>47.5917</x:v>
      </x:c>
      <x:c r="L245" s="53" t="n">
        <x:v>-122.3272</x:v>
      </x:c>
      <x:c r="M245" s="56" t="n">
        <x:v>250</x:v>
      </x:c>
      <x:c r="N245" s="56" t="str">
        <x:v>animated_route</x:v>
      </x:c>
      <x:c r="O245" s="56" t="n">
        <x:v>1500</x:v>
      </x:c>
      <x:c r="P245" s="56" t="n">
        <x:v>2</x:v>
      </x:c>
      <x:c r="Q245" s="56" t="n">
        <x:v>0.5</x:v>
      </x:c>
      <x:c r="R245" s="56" t="n">
        <x:v>319</x:v>
      </x:c>
      <x:c r="S245" s="56" t="n">
        <x:v>0.05</x:v>
      </x:c>
      <x:c r="T245" s="52" t="str">
        <x:v>#F59E0B</x:v>
      </x:c>
      <x:c r="U245" s="55" t="n">
        <x:v>0.55</x:v>
      </x:c>
      <x:c r="V245" s="58" t="n">
        <x:f>'Funding Categories'!L135</x:f>
        <x:v>1320000</x:v>
      </x:c>
      <x:c r="W245" s="52" t="str">
        <x:f>IF(V245&gt;0,"Yes","No")</x:f>
        <x:v>Yes</x:v>
      </x:c>
      <x:c r="X245" s="52" t="str">
        <x:v>extra rail/bus vehicle-hours; standby operators; event timetable</x:v>
      </x:c>
      <x:c r="Y245" s="52" t="str">
        <x:v>concept_only</x:v>
      </x:c>
      <x:c r="Z245" s="52" t="str">
        <x:v>planning_anchor ±25–100 m</x:v>
      </x:c>
      <x:c r="AA245" s="52" t="str">
        <x:v>engineering_assumption</x:v>
      </x:c>
      <x:c r="AB245" s="52" t="str">
        <x:v>https://www.soundtransit.org/ride-with-us/popular-destinations/lumen-field</x:v>
      </x:c>
    </x:row>
    <x:row r="246">
      <x:c r="A246" s="52" t="str">
        <x:v>seattle-service-PERM</x:v>
      </x:c>
      <x:c r="B246" s="52" t="n">
        <x:v>11</x:v>
      </x:c>
      <x:c r="C246" s="52" t="str">
        <x:v>seattle</x:v>
      </x:c>
      <x:c r="D246" s="52" t="str">
        <x:v>Seattle</x:v>
      </x:c>
      <x:c r="E246" s="52" t="str">
        <x:v>service</x:v>
      </x:c>
      <x:c r="F246" s="52" t="str">
        <x:v>Extra transit service</x:v>
      </x:c>
      <x:c r="G246" s="52" t="str">
        <x:v>permanent</x:v>
      </x:c>
      <x:c r="H246" s="52" t="str">
        <x:v>sea-stadium-station</x:v>
      </x:c>
      <x:c r="I246" s="52" t="str">
        <x:v>SEA-STA</x:v>
      </x:c>
      <x:c r="J246" s="52" t="str">
        <x:v>Stadium Station and Royal Brougham Way approach</x:v>
      </x:c>
      <x:c r="K246" s="53" t="n">
        <x:v>47.5917</x:v>
      </x:c>
      <x:c r="L246" s="53" t="n">
        <x:v>-122.3272</x:v>
      </x:c>
      <x:c r="M246" s="56" t="n">
        <x:v>250</x:v>
      </x:c>
      <x:c r="N246" s="56" t="str">
        <x:v>animated_route</x:v>
      </x:c>
      <x:c r="O246" s="56" t="n">
        <x:v>1500</x:v>
      </x:c>
      <x:c r="P246" s="56" t="n">
        <x:v>2</x:v>
      </x:c>
      <x:c r="Q246" s="56" t="n">
        <x:v>1</x:v>
      </x:c>
      <x:c r="R246" s="56" t="n">
        <x:v>326</x:v>
      </x:c>
      <x:c r="S246" s="56" t="n">
        <x:v>0.1</x:v>
      </x:c>
      <x:c r="T246" s="52" t="str">
        <x:v>#2563EB</x:v>
      </x:c>
      <x:c r="U246" s="55" t="n">
        <x:v>0.85</x:v>
      </x:c>
      <x:c r="V246" s="58" t="n">
        <x:f>'Funding Categories'!M135</x:f>
        <x:v>330000</x:v>
      </x:c>
      <x:c r="W246" s="52" t="str">
        <x:f>IF(V246&gt;0,"Yes","No")</x:f>
        <x:v>Yes</x:v>
      </x:c>
      <x:c r="X246" s="52" t="str">
        <x:v>recurring major-event service plan; fleet and stabling readiness</x:v>
      </x:c>
      <x:c r="Y246" s="52" t="str">
        <x:v>concept_only</x:v>
      </x:c>
      <x:c r="Z246" s="52" t="str">
        <x:v>planning_anchor ±25–100 m</x:v>
      </x:c>
      <x:c r="AA246" s="52" t="str">
        <x:v>engineering_assumption</x:v>
      </x:c>
      <x:c r="AB246" s="52" t="str">
        <x:v>https://www.soundtransit.org/ride-with-us/popular-destinations/lumen-field</x:v>
      </x:c>
    </x:row>
    <x:row r="247">
      <x:c r="A247" s="52" t="str">
        <x:v>seattle-buslane-TMP</x:v>
      </x:c>
      <x:c r="B247" s="52" t="n">
        <x:v>11</x:v>
      </x:c>
      <x:c r="C247" s="52" t="str">
        <x:v>seattle</x:v>
      </x:c>
      <x:c r="D247" s="52" t="str">
        <x:v>Seattle</x:v>
      </x:c>
      <x:c r="E247" s="52" t="str">
        <x:v>buslane</x:v>
      </x:c>
      <x:c r="F247" s="52" t="str">
        <x:v>Transit-priority lanes</x:v>
      </x:c>
      <x:c r="G247" s="52" t="str">
        <x:v>temporary</x:v>
      </x:c>
      <x:c r="H247" s="52" t="str">
        <x:v>sea-occidental-south</x:v>
      </x:c>
      <x:c r="I247" s="52" t="str">
        <x:v>SEA-OCC</x:v>
      </x:c>
      <x:c r="J247" s="52" t="str">
        <x:v>Occidental Avenue South plaza approach</x:v>
      </x:c>
      <x:c r="K247" s="53" t="n">
        <x:v>47.5925</x:v>
      </x:c>
      <x:c r="L247" s="53" t="n">
        <x:v>-122.3328</x:v>
      </x:c>
      <x:c r="M247" s="56" t="n">
        <x:v>300</x:v>
      </x:c>
      <x:c r="N247" s="56" t="str">
        <x:v>line_extrusion</x:v>
      </x:c>
      <x:c r="O247" s="56" t="n">
        <x:v>3200</x:v>
      </x:c>
      <x:c r="P247" s="56" t="n">
        <x:v>3.5</x:v>
      </x:c>
      <x:c r="Q247" s="56" t="n">
        <x:v>0.1</x:v>
      </x:c>
      <x:c r="R247" s="56" t="n">
        <x:v>336</x:v>
      </x:c>
      <x:c r="S247" s="56" t="n">
        <x:v>0.05</x:v>
      </x:c>
      <x:c r="T247" s="52" t="str">
        <x:v>#F59E0B</x:v>
      </x:c>
      <x:c r="U247" s="55" t="n">
        <x:v>0.55</x:v>
      </x:c>
      <x:c r="V247" s="58" t="n">
        <x:f>'Funding Categories'!L136</x:f>
        <x:v>486000</x:v>
      </x:c>
      <x:c r="W247" s="52" t="str">
        <x:f>IF(V247&gt;0,"Yes","No")</x:f>
        <x:v>Yes</x:v>
      </x:c>
      <x:c r="X247" s="52" t="str">
        <x:v>cone- and paint-defined bus lane with enforcement</x:v>
      </x:c>
      <x:c r="Y247" s="52" t="str">
        <x:v>concept_only</x:v>
      </x:c>
      <x:c r="Z247" s="52" t="str">
        <x:v>planning_anchor ±25–100 m</x:v>
      </x:c>
      <x:c r="AA247" s="52" t="str">
        <x:v>engineering_assumption</x:v>
      </x:c>
      <x:c r="AB247" s="52" t="str">
        <x:v>https://www.lumenfield.com/multi-day-events/taylor-swift-2023</x:v>
      </x:c>
    </x:row>
    <x:row r="248">
      <x:c r="A248" s="52" t="str">
        <x:v>seattle-buslane-PERM</x:v>
      </x:c>
      <x:c r="B248" s="52" t="n">
        <x:v>11</x:v>
      </x:c>
      <x:c r="C248" s="52" t="str">
        <x:v>seattle</x:v>
      </x:c>
      <x:c r="D248" s="52" t="str">
        <x:v>Seattle</x:v>
      </x:c>
      <x:c r="E248" s="52" t="str">
        <x:v>buslane</x:v>
      </x:c>
      <x:c r="F248" s="52" t="str">
        <x:v>Transit-priority lanes</x:v>
      </x:c>
      <x:c r="G248" s="52" t="str">
        <x:v>permanent</x:v>
      </x:c>
      <x:c r="H248" s="52" t="str">
        <x:v>sea-occidental-south</x:v>
      </x:c>
      <x:c r="I248" s="52" t="str">
        <x:v>SEA-OCC</x:v>
      </x:c>
      <x:c r="J248" s="52" t="str">
        <x:v>Occidental Avenue South plaza approach</x:v>
      </x:c>
      <x:c r="K248" s="53" t="n">
        <x:v>47.5925</x:v>
      </x:c>
      <x:c r="L248" s="53" t="n">
        <x:v>-122.3328</x:v>
      </x:c>
      <x:c r="M248" s="56" t="n">
        <x:v>300</x:v>
      </x:c>
      <x:c r="N248" s="56" t="str">
        <x:v>line_extrusion</x:v>
      </x:c>
      <x:c r="O248" s="56" t="n">
        <x:v>3200</x:v>
      </x:c>
      <x:c r="P248" s="56" t="n">
        <x:v>3.5</x:v>
      </x:c>
      <x:c r="Q248" s="56" t="n">
        <x:v>0.1</x:v>
      </x:c>
      <x:c r="R248" s="56" t="n">
        <x:v>343</x:v>
      </x:c>
      <x:c r="S248" s="56" t="n">
        <x:v>0.1</x:v>
      </x:c>
      <x:c r="T248" s="52" t="str">
        <x:v>#2563EB</x:v>
      </x:c>
      <x:c r="U248" s="55" t="n">
        <x:v>0.85</x:v>
      </x:c>
      <x:c r="V248" s="58" t="n">
        <x:f>'Funding Categories'!M136</x:f>
        <x:v>594000</x:v>
      </x:c>
      <x:c r="W248" s="52" t="str">
        <x:f>IF(V248&gt;0,"Yes","No")</x:f>
        <x:v>Yes</x:v>
      </x:c>
      <x:c r="X248" s="52" t="str">
        <x:v>dedicated or peak-period transit-priority lane</x:v>
      </x:c>
      <x:c r="Y248" s="52" t="str">
        <x:v>concept_only</x:v>
      </x:c>
      <x:c r="Z248" s="52" t="str">
        <x:v>planning_anchor ±25–100 m</x:v>
      </x:c>
      <x:c r="AA248" s="52" t="str">
        <x:v>engineering_assumption</x:v>
      </x:c>
      <x:c r="AB248" s="52" t="str">
        <x:v>https://www.lumenfield.com/multi-day-events/taylor-swift-2023</x:v>
      </x:c>
    </x:row>
    <x:row r="249">
      <x:c r="A249" s="52" t="str">
        <x:v>seattle-signals-TMP</x:v>
      </x:c>
      <x:c r="B249" s="52" t="n">
        <x:v>11</x:v>
      </x:c>
      <x:c r="C249" s="52" t="str">
        <x:v>seattle</x:v>
      </x:c>
      <x:c r="D249" s="52" t="str">
        <x:v>Seattle</x:v>
      </x:c>
      <x:c r="E249" s="52" t="str">
        <x:v>signals</x:v>
      </x:c>
      <x:c r="F249" s="52" t="str">
        <x:v>Signal timing plans</x:v>
      </x:c>
      <x:c r="G249" s="52" t="str">
        <x:v>temporary</x:v>
      </x:c>
      <x:c r="H249" s="52" t="str">
        <x:v>sea-occidental-south</x:v>
      </x:c>
      <x:c r="I249" s="52" t="str">
        <x:v>SEA-OCC</x:v>
      </x:c>
      <x:c r="J249" s="52" t="str">
        <x:v>Occidental Avenue South plaza approach</x:v>
      </x:c>
      <x:c r="K249" s="53" t="n">
        <x:v>47.5925</x:v>
      </x:c>
      <x:c r="L249" s="53" t="n">
        <x:v>-122.3328</x:v>
      </x:c>
      <x:c r="M249" s="56" t="n">
        <x:v>300</x:v>
      </x:c>
      <x:c r="N249" s="56" t="str">
        <x:v>point_model</x:v>
      </x:c>
      <x:c r="O249" s="56" t="n">
        <x:v>1</x:v>
      </x:c>
      <x:c r="P249" s="56" t="n">
        <x:v>1</x:v>
      </x:c>
      <x:c r="Q249" s="56" t="n">
        <x:v>3</x:v>
      </x:c>
      <x:c r="R249" s="56" t="n">
        <x:v>353</x:v>
      </x:c>
      <x:c r="S249" s="56" t="n">
        <x:v>0.05</x:v>
      </x:c>
      <x:c r="T249" s="52" t="str">
        <x:v>#F59E0B</x:v>
      </x:c>
      <x:c r="U249" s="55" t="n">
        <x:v>0.55</x:v>
      </x:c>
      <x:c r="V249" s="58" t="n">
        <x:f>'Funding Categories'!L137</x:f>
        <x:v>90000</x:v>
      </x:c>
      <x:c r="W249" s="52" t="str">
        <x:f>IF(V249&gt;0,"Yes","No")</x:f>
        <x:v>Yes</x:v>
      </x:c>
      <x:c r="X249" s="52" t="str">
        <x:v>police/manual traffic control and temporary timing plan</x:v>
      </x:c>
      <x:c r="Y249" s="52" t="str">
        <x:v>concept_only</x:v>
      </x:c>
      <x:c r="Z249" s="52" t="str">
        <x:v>planning_anchor ±25–100 m</x:v>
      </x:c>
      <x:c r="AA249" s="52" t="str">
        <x:v>engineering_assumption</x:v>
      </x:c>
      <x:c r="AB249" s="52" t="str">
        <x:v>https://www.lumenfield.com/multi-day-events/taylor-swift-2023</x:v>
      </x:c>
    </x:row>
    <x:row r="250">
      <x:c r="A250" s="52" t="str">
        <x:v>seattle-signals-PERM</x:v>
      </x:c>
      <x:c r="B250" s="52" t="n">
        <x:v>11</x:v>
      </x:c>
      <x:c r="C250" s="52" t="str">
        <x:v>seattle</x:v>
      </x:c>
      <x:c r="D250" s="52" t="str">
        <x:v>Seattle</x:v>
      </x:c>
      <x:c r="E250" s="52" t="str">
        <x:v>signals</x:v>
      </x:c>
      <x:c r="F250" s="52" t="str">
        <x:v>Signal timing plans</x:v>
      </x:c>
      <x:c r="G250" s="52" t="str">
        <x:v>permanent</x:v>
      </x:c>
      <x:c r="H250" s="52" t="str">
        <x:v>sea-occidental-south</x:v>
      </x:c>
      <x:c r="I250" s="52" t="str">
        <x:v>SEA-OCC</x:v>
      </x:c>
      <x:c r="J250" s="52" t="str">
        <x:v>Occidental Avenue South plaza approach</x:v>
      </x:c>
      <x:c r="K250" s="53" t="n">
        <x:v>47.5925</x:v>
      </x:c>
      <x:c r="L250" s="53" t="n">
        <x:v>-122.3328</x:v>
      </x:c>
      <x:c r="M250" s="56" t="n">
        <x:v>300</x:v>
      </x:c>
      <x:c r="N250" s="56" t="str">
        <x:v>point_model</x:v>
      </x:c>
      <x:c r="O250" s="56" t="n">
        <x:v>1</x:v>
      </x:c>
      <x:c r="P250" s="56" t="n">
        <x:v>1</x:v>
      </x:c>
      <x:c r="Q250" s="56" t="n">
        <x:v>6</x:v>
      </x:c>
      <x:c r="R250" s="56" t="n">
        <x:v>0</x:v>
      </x:c>
      <x:c r="S250" s="56" t="n">
        <x:v>0.1</x:v>
      </x:c>
      <x:c r="T250" s="52" t="str">
        <x:v>#2563EB</x:v>
      </x:c>
      <x:c r="U250" s="55" t="n">
        <x:v>0.85</x:v>
      </x:c>
      <x:c r="V250" s="58" t="n">
        <x:f>'Funding Categories'!M137</x:f>
        <x:v>270000</x:v>
      </x:c>
      <x:c r="W250" s="52" t="str">
        <x:f>IF(V250&gt;0,"Yes","No")</x:f>
        <x:v>Yes</x:v>
      </x:c>
      <x:c r="X250" s="52" t="str">
        <x:v>adaptive controllers and transit signal priority</x:v>
      </x:c>
      <x:c r="Y250" s="52" t="str">
        <x:v>concept_only</x:v>
      </x:c>
      <x:c r="Z250" s="52" t="str">
        <x:v>planning_anchor ±25–100 m</x:v>
      </x:c>
      <x:c r="AA250" s="52" t="str">
        <x:v>engineering_assumption</x:v>
      </x:c>
      <x:c r="AB250" s="52" t="str">
        <x:v>https://www.lumenfield.com/multi-day-events/taylor-swift-2023</x:v>
      </x:c>
    </x:row>
    <x:row r="251">
      <x:c r="A251" s="52" t="str">
        <x:v>seattle-hub-TMP</x:v>
      </x:c>
      <x:c r="B251" s="52" t="n">
        <x:v>11</x:v>
      </x:c>
      <x:c r="C251" s="52" t="str">
        <x:v>seattle</x:v>
      </x:c>
      <x:c r="D251" s="52" t="str">
        <x:v>Seattle</x:v>
      </x:c>
      <x:c r="E251" s="52" t="str">
        <x:v>hub</x:v>
      </x:c>
      <x:c r="F251" s="52" t="str">
        <x:v>Hub-to-stadium shuttle package</x:v>
      </x:c>
      <x:c r="G251" s="52" t="str">
        <x:v>temporary</x:v>
      </x:c>
      <x:c r="H251" s="52" t="str">
        <x:v>sea-occidental-south</x:v>
      </x:c>
      <x:c r="I251" s="52" t="str">
        <x:v>SEA-OCC</x:v>
      </x:c>
      <x:c r="J251" s="52" t="str">
        <x:v>Occidental Avenue South plaza approach</x:v>
      </x:c>
      <x:c r="K251" s="53" t="n">
        <x:v>47.5925</x:v>
      </x:c>
      <x:c r="L251" s="53" t="n">
        <x:v>-122.3328</x:v>
      </x:c>
      <x:c r="M251" s="56" t="n">
        <x:v>300</x:v>
      </x:c>
      <x:c r="N251" s="56" t="str">
        <x:v>polygon_extrusion</x:v>
      </x:c>
      <x:c r="O251" s="56" t="n">
        <x:v>90</x:v>
      </x:c>
      <x:c r="P251" s="56" t="n">
        <x:v>60</x:v>
      </x:c>
      <x:c r="Q251" s="56" t="n">
        <x:v>3</x:v>
      </x:c>
      <x:c r="R251" s="56" t="n">
        <x:v>10</x:v>
      </x:c>
      <x:c r="S251" s="56" t="n">
        <x:v>0.05</x:v>
      </x:c>
      <x:c r="T251" s="52" t="str">
        <x:v>#F59E0B</x:v>
      </x:c>
      <x:c r="U251" s="55" t="n">
        <x:v>0.55</x:v>
      </x:c>
      <x:c r="V251" s="58" t="n">
        <x:f>'Funding Categories'!L138</x:f>
        <x:v>0</x:v>
      </x:c>
      <x:c r="W251" s="52" t="str">
        <x:f>IF(V251&gt;0,"Yes","No")</x:f>
        <x:v>No</x:v>
      </x:c>
      <x:c r="X251" s="52" t="str">
        <x:v>pop-up shuttle zone; temporary shelters and dispatch</x:v>
      </x:c>
      <x:c r="Y251" s="52" t="str">
        <x:v>concept_only</x:v>
      </x:c>
      <x:c r="Z251" s="52" t="str">
        <x:v>planning_anchor ±25–100 m</x:v>
      </x:c>
      <x:c r="AA251" s="52" t="str">
        <x:v>engineering_assumption</x:v>
      </x:c>
      <x:c r="AB251" s="52" t="str">
        <x:v>https://www.lumenfield.com/multi-day-events/taylor-swift-2023</x:v>
      </x:c>
    </x:row>
    <x:row r="252">
      <x:c r="A252" s="52" t="str">
        <x:v>seattle-hub-PERM</x:v>
      </x:c>
      <x:c r="B252" s="52" t="n">
        <x:v>11</x:v>
      </x:c>
      <x:c r="C252" s="52" t="str">
        <x:v>seattle</x:v>
      </x:c>
      <x:c r="D252" s="52" t="str">
        <x:v>Seattle</x:v>
      </x:c>
      <x:c r="E252" s="52" t="str">
        <x:v>hub</x:v>
      </x:c>
      <x:c r="F252" s="52" t="str">
        <x:v>Hub-to-stadium shuttle package</x:v>
      </x:c>
      <x:c r="G252" s="52" t="str">
        <x:v>permanent</x:v>
      </x:c>
      <x:c r="H252" s="52" t="str">
        <x:v>sea-occidental-south</x:v>
      </x:c>
      <x:c r="I252" s="52" t="str">
        <x:v>SEA-OCC</x:v>
      </x:c>
      <x:c r="J252" s="52" t="str">
        <x:v>Occidental Avenue South plaza approach</x:v>
      </x:c>
      <x:c r="K252" s="53" t="n">
        <x:v>47.5925</x:v>
      </x:c>
      <x:c r="L252" s="53" t="n">
        <x:v>-122.3328</x:v>
      </x:c>
      <x:c r="M252" s="56" t="n">
        <x:v>300</x:v>
      </x:c>
      <x:c r="N252" s="56" t="str">
        <x:v>polygon_extrusion</x:v>
      </x:c>
      <x:c r="O252" s="56" t="n">
        <x:v>90</x:v>
      </x:c>
      <x:c r="P252" s="56" t="n">
        <x:v>60</x:v>
      </x:c>
      <x:c r="Q252" s="56" t="n">
        <x:v>6</x:v>
      </x:c>
      <x:c r="R252" s="56" t="n">
        <x:v>17</x:v>
      </x:c>
      <x:c r="S252" s="56" t="n">
        <x:v>0.1</x:v>
      </x:c>
      <x:c r="T252" s="52" t="str">
        <x:v>#2563EB</x:v>
      </x:c>
      <x:c r="U252" s="55" t="n">
        <x:v>0.85</x:v>
      </x:c>
      <x:c r="V252" s="58" t="n">
        <x:f>'Funding Categories'!M138</x:f>
        <x:v>0</x:v>
      </x:c>
      <x:c r="W252" s="52" t="str">
        <x:f>IF(V252&gt;0,"Yes","No")</x:f>
        <x:v>No</x:v>
      </x:c>
      <x:c r="X252" s="52" t="str">
        <x:v>permanent multimodal mobility hub</x:v>
      </x:c>
      <x:c r="Y252" s="52" t="str">
        <x:v>concept_only</x:v>
      </x:c>
      <x:c r="Z252" s="52" t="str">
        <x:v>planning_anchor ±25–100 m</x:v>
      </x:c>
      <x:c r="AA252" s="52" t="str">
        <x:v>engineering_assumption</x:v>
      </x:c>
      <x:c r="AB252" s="52" t="str">
        <x:v>https://www.lumenfield.com/multi-day-events/taylor-swift-2023</x:v>
      </x:c>
    </x:row>
    <x:row r="253">
      <x:c r="A253" s="52" t="str">
        <x:v>seattle-parkride-TMP</x:v>
      </x:c>
      <x:c r="B253" s="52" t="n">
        <x:v>11</x:v>
      </x:c>
      <x:c r="C253" s="52" t="str">
        <x:v>seattle</x:v>
      </x:c>
      <x:c r="D253" s="52" t="str">
        <x:v>Seattle</x:v>
      </x:c>
      <x:c r="E253" s="52" t="str">
        <x:v>parkride</x:v>
      </x:c>
      <x:c r="F253" s="52" t="str">
        <x:v>Park-and-ride package</x:v>
      </x:c>
      <x:c r="G253" s="52" t="str">
        <x:v>temporary</x:v>
      </x:c>
      <x:c r="H253" s="52" t="str">
        <x:v>sea-occidental-south</x:v>
      </x:c>
      <x:c r="I253" s="52" t="str">
        <x:v>SEA-OCC</x:v>
      </x:c>
      <x:c r="J253" s="52" t="str">
        <x:v>Occidental Avenue South plaza approach</x:v>
      </x:c>
      <x:c r="K253" s="53" t="n">
        <x:v>47.5925</x:v>
      </x:c>
      <x:c r="L253" s="53" t="n">
        <x:v>-122.3328</x:v>
      </x:c>
      <x:c r="M253" s="56" t="n">
        <x:v>300</x:v>
      </x:c>
      <x:c r="N253" s="56" t="str">
        <x:v>polygon_extrusion</x:v>
      </x:c>
      <x:c r="O253" s="56" t="n">
        <x:v>220</x:v>
      </x:c>
      <x:c r="P253" s="56" t="n">
        <x:v>150</x:v>
      </x:c>
      <x:c r="Q253" s="56" t="n">
        <x:v>0.2</x:v>
      </x:c>
      <x:c r="R253" s="56" t="n">
        <x:v>27</x:v>
      </x:c>
      <x:c r="S253" s="56" t="n">
        <x:v>0.05</x:v>
      </x:c>
      <x:c r="T253" s="52" t="str">
        <x:v>#F59E0B</x:v>
      </x:c>
      <x:c r="U253" s="55" t="n">
        <x:v>0.55</x:v>
      </x:c>
      <x:c r="V253" s="58" t="n">
        <x:f>'Funding Categories'!L139</x:f>
        <x:v>0</x:v>
      </x:c>
      <x:c r="W253" s="52" t="str">
        <x:f>IF(V253&gt;0,"Yes","No")</x:f>
        <x:v>No</x:v>
      </x:c>
      <x:c r="X253" s="52" t="str">
        <x:v>leased intercept lots and temporary signing</x:v>
      </x:c>
      <x:c r="Y253" s="52" t="str">
        <x:v>concept_only</x:v>
      </x:c>
      <x:c r="Z253" s="52" t="str">
        <x:v>planning_anchor ±25–100 m</x:v>
      </x:c>
      <x:c r="AA253" s="52" t="str">
        <x:v>engineering_assumption</x:v>
      </x:c>
      <x:c r="AB253" s="52" t="str">
        <x:v>https://www.lumenfield.com/multi-day-events/taylor-swift-2023</x:v>
      </x:c>
    </x:row>
    <x:row r="254">
      <x:c r="A254" s="52" t="str">
        <x:v>seattle-parkride-PERM</x:v>
      </x:c>
      <x:c r="B254" s="52" t="n">
        <x:v>11</x:v>
      </x:c>
      <x:c r="C254" s="52" t="str">
        <x:v>seattle</x:v>
      </x:c>
      <x:c r="D254" s="52" t="str">
        <x:v>Seattle</x:v>
      </x:c>
      <x:c r="E254" s="52" t="str">
        <x:v>parkride</x:v>
      </x:c>
      <x:c r="F254" s="52" t="str">
        <x:v>Park-and-ride package</x:v>
      </x:c>
      <x:c r="G254" s="52" t="str">
        <x:v>permanent</x:v>
      </x:c>
      <x:c r="H254" s="52" t="str">
        <x:v>sea-occidental-south</x:v>
      </x:c>
      <x:c r="I254" s="52" t="str">
        <x:v>SEA-OCC</x:v>
      </x:c>
      <x:c r="J254" s="52" t="str">
        <x:v>Occidental Avenue South plaza approach</x:v>
      </x:c>
      <x:c r="K254" s="53" t="n">
        <x:v>47.5925</x:v>
      </x:c>
      <x:c r="L254" s="53" t="n">
        <x:v>-122.3328</x:v>
      </x:c>
      <x:c r="M254" s="56" t="n">
        <x:v>300</x:v>
      </x:c>
      <x:c r="N254" s="56" t="str">
        <x:v>polygon_extrusion</x:v>
      </x:c>
      <x:c r="O254" s="56" t="n">
        <x:v>220</x:v>
      </x:c>
      <x:c r="P254" s="56" t="n">
        <x:v>150</x:v>
      </x:c>
      <x:c r="Q254" s="56" t="n">
        <x:v>0.2</x:v>
      </x:c>
      <x:c r="R254" s="56" t="n">
        <x:v>34</x:v>
      </x:c>
      <x:c r="S254" s="56" t="n">
        <x:v>0.1</x:v>
      </x:c>
      <x:c r="T254" s="52" t="str">
        <x:v>#2563EB</x:v>
      </x:c>
      <x:c r="U254" s="55" t="n">
        <x:v>0.85</x:v>
      </x:c>
      <x:c r="V254" s="58" t="n">
        <x:f>'Funding Categories'!M139</x:f>
        <x:v>0</x:v>
      </x:c>
      <x:c r="W254" s="52" t="str">
        <x:f>IF(V254&gt;0,"Yes","No")</x:f>
        <x:v>No</x:v>
      </x:c>
      <x:c r="X254" s="52" t="str">
        <x:v>permanent park-and-ride with charging and transit access</x:v>
      </x:c>
      <x:c r="Y254" s="52" t="str">
        <x:v>concept_only</x:v>
      </x:c>
      <x:c r="Z254" s="52" t="str">
        <x:v>planning_anchor ±25–100 m</x:v>
      </x:c>
      <x:c r="AA254" s="52" t="str">
        <x:v>engineering_assumption</x:v>
      </x:c>
      <x:c r="AB254" s="52" t="str">
        <x:v>https://www.lumenfield.com/multi-day-events/taylor-swift-2023</x:v>
      </x:c>
    </x:row>
    <x:row r="255">
      <x:c r="A255" s="52" t="str">
        <x:v>seattle-ped-TMP</x:v>
      </x:c>
      <x:c r="B255" s="52" t="n">
        <x:v>11</x:v>
      </x:c>
      <x:c r="C255" s="52" t="str">
        <x:v>seattle</x:v>
      </x:c>
      <x:c r="D255" s="52" t="str">
        <x:v>Seattle</x:v>
      </x:c>
      <x:c r="E255" s="52" t="str">
        <x:v>ped</x:v>
      </x:c>
      <x:c r="F255" s="52" t="str">
        <x:v>Protected pedestrian corridor</x:v>
      </x:c>
      <x:c r="G255" s="52" t="str">
        <x:v>temporary</x:v>
      </x:c>
      <x:c r="H255" s="52" t="str">
        <x:v>sea-stadium-station</x:v>
      </x:c>
      <x:c r="I255" s="52" t="str">
        <x:v>SEA-STA</x:v>
      </x:c>
      <x:c r="J255" s="52" t="str">
        <x:v>Stadium Station and Royal Brougham Way approach</x:v>
      </x:c>
      <x:c r="K255" s="53" t="n">
        <x:v>47.5917</x:v>
      </x:c>
      <x:c r="L255" s="53" t="n">
        <x:v>-122.3272</x:v>
      </x:c>
      <x:c r="M255" s="56" t="n">
        <x:v>250</x:v>
      </x:c>
      <x:c r="N255" s="56" t="str">
        <x:v>line_extrusion</x:v>
      </x:c>
      <x:c r="O255" s="56" t="n">
        <x:v>1600</x:v>
      </x:c>
      <x:c r="P255" s="56" t="n">
        <x:v>6</x:v>
      </x:c>
      <x:c r="Q255" s="56" t="n">
        <x:v>0.15</x:v>
      </x:c>
      <x:c r="R255" s="56" t="n">
        <x:v>44</x:v>
      </x:c>
      <x:c r="S255" s="56" t="n">
        <x:v>0.05</x:v>
      </x:c>
      <x:c r="T255" s="52" t="str">
        <x:v>#F59E0B</x:v>
      </x:c>
      <x:c r="U255" s="55" t="n">
        <x:v>0.55</x:v>
      </x:c>
      <x:c r="V255" s="58" t="n">
        <x:f>'Funding Categories'!L140</x:f>
        <x:v>210000</x:v>
      </x:c>
      <x:c r="W255" s="52" t="str">
        <x:f>IF(V255&gt;0,"Yes","No")</x:f>
        <x:v>Yes</x:v>
      </x:c>
      <x:c r="X255" s="52" t="str">
        <x:v>barricaded protected corridor; marshals and lighting</x:v>
      </x:c>
      <x:c r="Y255" s="52" t="str">
        <x:v>concept_only</x:v>
      </x:c>
      <x:c r="Z255" s="52" t="str">
        <x:v>planning_anchor ±25–100 m</x:v>
      </x:c>
      <x:c r="AA255" s="52" t="str">
        <x:v>engineering_assumption</x:v>
      </x:c>
      <x:c r="AB255" s="52" t="str">
        <x:v>https://www.soundtransit.org/ride-with-us/popular-destinations/lumen-field</x:v>
      </x:c>
    </x:row>
    <x:row r="256">
      <x:c r="A256" s="52" t="str">
        <x:v>seattle-ped-PERM</x:v>
      </x:c>
      <x:c r="B256" s="52" t="n">
        <x:v>11</x:v>
      </x:c>
      <x:c r="C256" s="52" t="str">
        <x:v>seattle</x:v>
      </x:c>
      <x:c r="D256" s="52" t="str">
        <x:v>Seattle</x:v>
      </x:c>
      <x:c r="E256" s="52" t="str">
        <x:v>ped</x:v>
      </x:c>
      <x:c r="F256" s="52" t="str">
        <x:v>Protected pedestrian corridor</x:v>
      </x:c>
      <x:c r="G256" s="52" t="str">
        <x:v>permanent</x:v>
      </x:c>
      <x:c r="H256" s="52" t="str">
        <x:v>sea-stadium-station</x:v>
      </x:c>
      <x:c r="I256" s="52" t="str">
        <x:v>SEA-STA</x:v>
      </x:c>
      <x:c r="J256" s="52" t="str">
        <x:v>Stadium Station and Royal Brougham Way approach</x:v>
      </x:c>
      <x:c r="K256" s="53" t="n">
        <x:v>47.5917</x:v>
      </x:c>
      <x:c r="L256" s="53" t="n">
        <x:v>-122.3272</x:v>
      </x:c>
      <x:c r="M256" s="56" t="n">
        <x:v>250</x:v>
      </x:c>
      <x:c r="N256" s="56" t="str">
        <x:v>line_extrusion</x:v>
      </x:c>
      <x:c r="O256" s="56" t="n">
        <x:v>1600</x:v>
      </x:c>
      <x:c r="P256" s="56" t="n">
        <x:v>6</x:v>
      </x:c>
      <x:c r="Q256" s="56" t="n">
        <x:v>0.15</x:v>
      </x:c>
      <x:c r="R256" s="56" t="n">
        <x:v>51</x:v>
      </x:c>
      <x:c r="S256" s="56" t="n">
        <x:v>0.1</x:v>
      </x:c>
      <x:c r="T256" s="52" t="str">
        <x:v>#0F766E</x:v>
      </x:c>
      <x:c r="U256" s="55" t="n">
        <x:v>0.85</x:v>
      </x:c>
      <x:c r="V256" s="58" t="n">
        <x:f>'Funding Categories'!M140</x:f>
        <x:v>390000</x:v>
      </x:c>
      <x:c r="W256" s="52" t="str">
        <x:f>IF(V256&gt;0,"Yes","No")</x:f>
        <x:v>Yes</x:v>
      </x:c>
      <x:c r="X256" s="52" t="str">
        <x:v>widened sidewalk; lighting; drainage and separation</x:v>
      </x:c>
      <x:c r="Y256" s="52" t="str">
        <x:v>concept_only</x:v>
      </x:c>
      <x:c r="Z256" s="52" t="str">
        <x:v>planning_anchor ±25–100 m</x:v>
      </x:c>
      <x:c r="AA256" s="52" t="str">
        <x:v>engineering_assumption</x:v>
      </x:c>
      <x:c r="AB256" s="52" t="str">
        <x:v>https://www.soundtransit.org/ride-with-us/popular-destinations/lumen-field</x:v>
      </x:c>
    </x:row>
    <x:row r="257">
      <x:c r="A257" s="52" t="str">
        <x:v>seattle-bike-TMP</x:v>
      </x:c>
      <x:c r="B257" s="52" t="n">
        <x:v>11</x:v>
      </x:c>
      <x:c r="C257" s="52" t="str">
        <x:v>seattle</x:v>
      </x:c>
      <x:c r="D257" s="52" t="str">
        <x:v>Seattle</x:v>
      </x:c>
      <x:c r="E257" s="52" t="str">
        <x:v>bike</x:v>
      </x:c>
      <x:c r="F257" s="52" t="str">
        <x:v>Protected bicycle access</x:v>
      </x:c>
      <x:c r="G257" s="52" t="str">
        <x:v>temporary</x:v>
      </x:c>
      <x:c r="H257" s="52" t="str">
        <x:v>sea-stadium-station</x:v>
      </x:c>
      <x:c r="I257" s="52" t="str">
        <x:v>SEA-STA</x:v>
      </x:c>
      <x:c r="J257" s="52" t="str">
        <x:v>Stadium Station and Royal Brougham Way approach</x:v>
      </x:c>
      <x:c r="K257" s="53" t="n">
        <x:v>47.5917</x:v>
      </x:c>
      <x:c r="L257" s="53" t="n">
        <x:v>-122.3272</x:v>
      </x:c>
      <x:c r="M257" s="56" t="n">
        <x:v>250</x:v>
      </x:c>
      <x:c r="N257" s="56" t="str">
        <x:v>line_extrusion</x:v>
      </x:c>
      <x:c r="O257" s="56" t="n">
        <x:v>3200</x:v>
      </x:c>
      <x:c r="P257" s="56" t="n">
        <x:v>3</x:v>
      </x:c>
      <x:c r="Q257" s="56" t="n">
        <x:v>0.1</x:v>
      </x:c>
      <x:c r="R257" s="56" t="n">
        <x:v>61</x:v>
      </x:c>
      <x:c r="S257" s="56" t="n">
        <x:v>0.05</x:v>
      </x:c>
      <x:c r="T257" s="52" t="str">
        <x:v>#F59E0B</x:v>
      </x:c>
      <x:c r="U257" s="55" t="n">
        <x:v>0.55</x:v>
      </x:c>
      <x:c r="V257" s="58" t="n">
        <x:f>'Funding Categories'!L141</x:f>
        <x:v>0</x:v>
      </x:c>
      <x:c r="W257" s="52" t="str">
        <x:f>IF(V257&gt;0,"Yes","No")</x:f>
        <x:v>No</x:v>
      </x:c>
      <x:c r="X257" s="52" t="str">
        <x:v>pop-up protected lane and attended bike valet</x:v>
      </x:c>
      <x:c r="Y257" s="52" t="str">
        <x:v>concept_only</x:v>
      </x:c>
      <x:c r="Z257" s="52" t="str">
        <x:v>planning_anchor ±25–100 m</x:v>
      </x:c>
      <x:c r="AA257" s="52" t="str">
        <x:v>engineering_assumption</x:v>
      </x:c>
      <x:c r="AB257" s="52" t="str">
        <x:v>https://www.soundtransit.org/ride-with-us/popular-destinations/lumen-field</x:v>
      </x:c>
    </x:row>
    <x:row r="258">
      <x:c r="A258" s="52" t="str">
        <x:v>seattle-bike-PERM</x:v>
      </x:c>
      <x:c r="B258" s="52" t="n">
        <x:v>11</x:v>
      </x:c>
      <x:c r="C258" s="52" t="str">
        <x:v>seattle</x:v>
      </x:c>
      <x:c r="D258" s="52" t="str">
        <x:v>Seattle</x:v>
      </x:c>
      <x:c r="E258" s="52" t="str">
        <x:v>bike</x:v>
      </x:c>
      <x:c r="F258" s="52" t="str">
        <x:v>Protected bicycle access</x:v>
      </x:c>
      <x:c r="G258" s="52" t="str">
        <x:v>permanent</x:v>
      </x:c>
      <x:c r="H258" s="52" t="str">
        <x:v>sea-stadium-station</x:v>
      </x:c>
      <x:c r="I258" s="52" t="str">
        <x:v>SEA-STA</x:v>
      </x:c>
      <x:c r="J258" s="52" t="str">
        <x:v>Stadium Station and Royal Brougham Way approach</x:v>
      </x:c>
      <x:c r="K258" s="53" t="n">
        <x:v>47.5917</x:v>
      </x:c>
      <x:c r="L258" s="53" t="n">
        <x:v>-122.3272</x:v>
      </x:c>
      <x:c r="M258" s="56" t="n">
        <x:v>250</x:v>
      </x:c>
      <x:c r="N258" s="56" t="str">
        <x:v>line_extrusion</x:v>
      </x:c>
      <x:c r="O258" s="56" t="n">
        <x:v>3200</x:v>
      </x:c>
      <x:c r="P258" s="56" t="n">
        <x:v>3</x:v>
      </x:c>
      <x:c r="Q258" s="56" t="n">
        <x:v>0.1</x:v>
      </x:c>
      <x:c r="R258" s="56" t="n">
        <x:v>68</x:v>
      </x:c>
      <x:c r="S258" s="56" t="n">
        <x:v>0.1</x:v>
      </x:c>
      <x:c r="T258" s="52" t="str">
        <x:v>#0F766E</x:v>
      </x:c>
      <x:c r="U258" s="55" t="n">
        <x:v>0.85</x:v>
      </x:c>
      <x:c r="V258" s="58" t="n">
        <x:f>'Funding Categories'!M141</x:f>
        <x:v>0</x:v>
      </x:c>
      <x:c r="W258" s="52" t="str">
        <x:f>IF(V258&gt;0,"Yes","No")</x:f>
        <x:v>No</x:v>
      </x:c>
      <x:c r="X258" s="52" t="str">
        <x:v>protected bikeway and secure long-term parking</x:v>
      </x:c>
      <x:c r="Y258" s="52" t="str">
        <x:v>concept_only</x:v>
      </x:c>
      <x:c r="Z258" s="52" t="str">
        <x:v>planning_anchor ±25–100 m</x:v>
      </x:c>
      <x:c r="AA258" s="52" t="str">
        <x:v>engineering_assumption</x:v>
      </x:c>
      <x:c r="AB258" s="52" t="str">
        <x:v>https://www.soundtransit.org/ride-with-us/popular-destinations/lumen-field</x:v>
      </x:c>
    </x:row>
    <x:row r="259">
      <x:c r="A259" s="52" t="str">
        <x:v>seattle-tnc-TMP</x:v>
      </x:c>
      <x:c r="B259" s="52" t="n">
        <x:v>11</x:v>
      </x:c>
      <x:c r="C259" s="52" t="str">
        <x:v>seattle</x:v>
      </x:c>
      <x:c r="D259" s="52" t="str">
        <x:v>Seattle</x:v>
      </x:c>
      <x:c r="E259" s="52" t="str">
        <x:v>tnc</x:v>
      </x:c>
      <x:c r="F259" s="52" t="str">
        <x:v>Managed rideshare hub</x:v>
      </x:c>
      <x:c r="G259" s="52" t="str">
        <x:v>temporary</x:v>
      </x:c>
      <x:c r="H259" s="52" t="str">
        <x:v>sea-occidental-south</x:v>
      </x:c>
      <x:c r="I259" s="52" t="str">
        <x:v>SEA-OCC</x:v>
      </x:c>
      <x:c r="J259" s="52" t="str">
        <x:v>Occidental Avenue South plaza approach</x:v>
      </x:c>
      <x:c r="K259" s="53" t="n">
        <x:v>47.5925</x:v>
      </x:c>
      <x:c r="L259" s="53" t="n">
        <x:v>-122.3328</x:v>
      </x:c>
      <x:c r="M259" s="56" t="n">
        <x:v>300</x:v>
      </x:c>
      <x:c r="N259" s="56" t="str">
        <x:v>polygon_extrusion</x:v>
      </x:c>
      <x:c r="O259" s="56" t="n">
        <x:v>70</x:v>
      </x:c>
      <x:c r="P259" s="56" t="n">
        <x:v>45</x:v>
      </x:c>
      <x:c r="Q259" s="56" t="n">
        <x:v>0.2</x:v>
      </x:c>
      <x:c r="R259" s="56" t="n">
        <x:v>78</x:v>
      </x:c>
      <x:c r="S259" s="56" t="n">
        <x:v>0.05</x:v>
      </x:c>
      <x:c r="T259" s="52" t="str">
        <x:v>#F59E0B</x:v>
      </x:c>
      <x:c r="U259" s="55" t="n">
        <x:v>0.55</x:v>
      </x:c>
      <x:c r="V259" s="58" t="n">
        <x:f>'Funding Categories'!L142</x:f>
        <x:v>200000</x:v>
      </x:c>
      <x:c r="W259" s="52" t="str">
        <x:f>IF(V259&gt;0,"Yes","No")</x:f>
        <x:v>Yes</x:v>
      </x:c>
      <x:c r="X259" s="52" t="str">
        <x:v>staffed geofenced pickup with temporary lane control</x:v>
      </x:c>
      <x:c r="Y259" s="52" t="str">
        <x:v>concept_only</x:v>
      </x:c>
      <x:c r="Z259" s="52" t="str">
        <x:v>planning_anchor ±25–100 m</x:v>
      </x:c>
      <x:c r="AA259" s="52" t="str">
        <x:v>engineering_assumption</x:v>
      </x:c>
      <x:c r="AB259" s="52" t="str">
        <x:v>https://www.lumenfield.com/multi-day-events/taylor-swift-2023</x:v>
      </x:c>
    </x:row>
    <x:row r="260">
      <x:c r="A260" s="52" t="str">
        <x:v>seattle-tnc-PERM</x:v>
      </x:c>
      <x:c r="B260" s="52" t="n">
        <x:v>11</x:v>
      </x:c>
      <x:c r="C260" s="52" t="str">
        <x:v>seattle</x:v>
      </x:c>
      <x:c r="D260" s="52" t="str">
        <x:v>Seattle</x:v>
      </x:c>
      <x:c r="E260" s="52" t="str">
        <x:v>tnc</x:v>
      </x:c>
      <x:c r="F260" s="52" t="str">
        <x:v>Managed rideshare hub</x:v>
      </x:c>
      <x:c r="G260" s="52" t="str">
        <x:v>permanent</x:v>
      </x:c>
      <x:c r="H260" s="52" t="str">
        <x:v>sea-occidental-south</x:v>
      </x:c>
      <x:c r="I260" s="52" t="str">
        <x:v>SEA-OCC</x:v>
      </x:c>
      <x:c r="J260" s="52" t="str">
        <x:v>Occidental Avenue South plaza approach</x:v>
      </x:c>
      <x:c r="K260" s="53" t="n">
        <x:v>47.5925</x:v>
      </x:c>
      <x:c r="L260" s="53" t="n">
        <x:v>-122.3328</x:v>
      </x:c>
      <x:c r="M260" s="56" t="n">
        <x:v>300</x:v>
      </x:c>
      <x:c r="N260" s="56" t="str">
        <x:v>polygon_extrusion</x:v>
      </x:c>
      <x:c r="O260" s="56" t="n">
        <x:v>70</x:v>
      </x:c>
      <x:c r="P260" s="56" t="n">
        <x:v>45</x:v>
      </x:c>
      <x:c r="Q260" s="56" t="n">
        <x:v>0.2</x:v>
      </x:c>
      <x:c r="R260" s="56" t="n">
        <x:v>85</x:v>
      </x:c>
      <x:c r="S260" s="56" t="n">
        <x:v>0.1</x:v>
      </x:c>
      <x:c r="T260" s="52" t="str">
        <x:v>#2563EB</x:v>
      </x:c>
      <x:c r="U260" s="55" t="n">
        <x:v>0.85</x:v>
      </x:c>
      <x:c r="V260" s="58" t="n">
        <x:f>'Funding Categories'!M142</x:f>
        <x:v>200000</x:v>
      </x:c>
      <x:c r="W260" s="52" t="str">
        <x:f>IF(V260&gt;0,"Yes","No")</x:f>
        <x:v>Yes</x:v>
      </x:c>
      <x:c r="X260" s="52" t="str">
        <x:v>off-street rideshare hub with accessible bays</x:v>
      </x:c>
      <x:c r="Y260" s="52" t="str">
        <x:v>concept_only</x:v>
      </x:c>
      <x:c r="Z260" s="52" t="str">
        <x:v>planning_anchor ±25–100 m</x:v>
      </x:c>
      <x:c r="AA260" s="52" t="str">
        <x:v>engineering_assumption</x:v>
      </x:c>
      <x:c r="AB260" s="52" t="str">
        <x:v>https://www.lumenfield.com/multi-day-events/taylor-swift-2023</x:v>
      </x:c>
    </x:row>
    <x:row r="261">
      <x:c r="A261" s="52" t="str">
        <x:v>seattle-wayfinding-TMP</x:v>
      </x:c>
      <x:c r="B261" s="52" t="n">
        <x:v>11</x:v>
      </x:c>
      <x:c r="C261" s="52" t="str">
        <x:v>seattle</x:v>
      </x:c>
      <x:c r="D261" s="52" t="str">
        <x:v>Seattle</x:v>
      </x:c>
      <x:c r="E261" s="52" t="str">
        <x:v>wayfinding</x:v>
      </x:c>
      <x:c r="F261" s="52" t="str">
        <x:v>Multilingual wayfinding</x:v>
      </x:c>
      <x:c r="G261" s="52" t="str">
        <x:v>temporary</x:v>
      </x:c>
      <x:c r="H261" s="52" t="str">
        <x:v>sea-stadium-station</x:v>
      </x:c>
      <x:c r="I261" s="52" t="str">
        <x:v>SEA-STA</x:v>
      </x:c>
      <x:c r="J261" s="52" t="str">
        <x:v>Stadium Station and Royal Brougham Way approach</x:v>
      </x:c>
      <x:c r="K261" s="53" t="n">
        <x:v>47.5917</x:v>
      </x:c>
      <x:c r="L261" s="53" t="n">
        <x:v>-122.3272</x:v>
      </x:c>
      <x:c r="M261" s="56" t="n">
        <x:v>250</x:v>
      </x:c>
      <x:c r="N261" s="56" t="str">
        <x:v>point_model</x:v>
      </x:c>
      <x:c r="O261" s="56" t="n">
        <x:v>1</x:v>
      </x:c>
      <x:c r="P261" s="56" t="n">
        <x:v>1</x:v>
      </x:c>
      <x:c r="Q261" s="56" t="n">
        <x:v>2.5</x:v>
      </x:c>
      <x:c r="R261" s="56" t="n">
        <x:v>95</x:v>
      </x:c>
      <x:c r="S261" s="56" t="n">
        <x:v>0.05</x:v>
      </x:c>
      <x:c r="T261" s="52" t="str">
        <x:v>#F59E0B</x:v>
      </x:c>
      <x:c r="U261" s="55" t="n">
        <x:v>0.55</x:v>
      </x:c>
      <x:c r="V261" s="58" t="n">
        <x:f>'Funding Categories'!L143</x:f>
        <x:v>135000</x:v>
      </x:c>
      <x:c r="W261" s="52" t="str">
        <x:f>IF(V261&gt;0,"Yes","No")</x:f>
        <x:v>Yes</x:v>
      </x:c>
      <x:c r="X261" s="52" t="str">
        <x:v>portable signs; digital messages; multilingual ambassadors</x:v>
      </x:c>
      <x:c r="Y261" s="52" t="str">
        <x:v>concept_only</x:v>
      </x:c>
      <x:c r="Z261" s="52" t="str">
        <x:v>planning_anchor ±25–100 m</x:v>
      </x:c>
      <x:c r="AA261" s="52" t="str">
        <x:v>engineering_assumption</x:v>
      </x:c>
      <x:c r="AB261" s="52" t="str">
        <x:v>https://www.soundtransit.org/ride-with-us/popular-destinations/lumen-field</x:v>
      </x:c>
    </x:row>
    <x:row r="262">
      <x:c r="A262" s="52" t="str">
        <x:v>seattle-wayfinding-PERM</x:v>
      </x:c>
      <x:c r="B262" s="52" t="n">
        <x:v>11</x:v>
      </x:c>
      <x:c r="C262" s="52" t="str">
        <x:v>seattle</x:v>
      </x:c>
      <x:c r="D262" s="52" t="str">
        <x:v>Seattle</x:v>
      </x:c>
      <x:c r="E262" s="52" t="str">
        <x:v>wayfinding</x:v>
      </x:c>
      <x:c r="F262" s="52" t="str">
        <x:v>Multilingual wayfinding</x:v>
      </x:c>
      <x:c r="G262" s="52" t="str">
        <x:v>permanent</x:v>
      </x:c>
      <x:c r="H262" s="52" t="str">
        <x:v>sea-stadium-station</x:v>
      </x:c>
      <x:c r="I262" s="52" t="str">
        <x:v>SEA-STA</x:v>
      </x:c>
      <x:c r="J262" s="52" t="str">
        <x:v>Stadium Station and Royal Brougham Way approach</x:v>
      </x:c>
      <x:c r="K262" s="53" t="n">
        <x:v>47.5917</x:v>
      </x:c>
      <x:c r="L262" s="53" t="n">
        <x:v>-122.3272</x:v>
      </x:c>
      <x:c r="M262" s="56" t="n">
        <x:v>250</x:v>
      </x:c>
      <x:c r="N262" s="56" t="str">
        <x:v>point_model</x:v>
      </x:c>
      <x:c r="O262" s="56" t="n">
        <x:v>1</x:v>
      </x:c>
      <x:c r="P262" s="56" t="n">
        <x:v>1</x:v>
      </x:c>
      <x:c r="Q262" s="56" t="n">
        <x:v>4</x:v>
      </x:c>
      <x:c r="R262" s="56" t="n">
        <x:v>102</x:v>
      </x:c>
      <x:c r="S262" s="56" t="n">
        <x:v>0.1</x:v>
      </x:c>
      <x:c r="T262" s="52" t="str">
        <x:v>#2563EB</x:v>
      </x:c>
      <x:c r="U262" s="55" t="n">
        <x:v>0.85</x:v>
      </x:c>
      <x:c r="V262" s="58" t="n">
        <x:f>'Funding Categories'!M143</x:f>
        <x:v>165000</x:v>
      </x:c>
      <x:c r="W262" s="52" t="str">
        <x:f>IF(V262&gt;0,"Yes","No")</x:f>
        <x:v>Yes</x:v>
      </x:c>
      <x:c r="X262" s="52" t="str">
        <x:v>fixed multilingual physical and digital wayfinding</x:v>
      </x:c>
      <x:c r="Y262" s="52" t="str">
        <x:v>concept_only</x:v>
      </x:c>
      <x:c r="Z262" s="52" t="str">
        <x:v>planning_anchor ±25–100 m</x:v>
      </x:c>
      <x:c r="AA262" s="52" t="str">
        <x:v>engineering_assumption</x:v>
      </x:c>
      <x:c r="AB262" s="52" t="str">
        <x:v>https://www.soundtransit.org/ride-with-us/popular-destinations/lumen-field</x:v>
      </x:c>
    </x:row>
    <x:row r="263">
      <x:c r="A263" s="52" t="str">
        <x:v>seattle-station-TMP</x:v>
      </x:c>
      <x:c r="B263" s="52" t="n">
        <x:v>11</x:v>
      </x:c>
      <x:c r="C263" s="52" t="str">
        <x:v>seattle</x:v>
      </x:c>
      <x:c r="D263" s="52" t="str">
        <x:v>Seattle</x:v>
      </x:c>
      <x:c r="E263" s="52" t="str">
        <x:v>station</x:v>
      </x:c>
      <x:c r="F263" s="52" t="str">
        <x:v>Station-capacity package</x:v>
      </x:c>
      <x:c r="G263" s="52" t="str">
        <x:v>temporary</x:v>
      </x:c>
      <x:c r="H263" s="52" t="str">
        <x:v>sea-stadium-station</x:v>
      </x:c>
      <x:c r="I263" s="52" t="str">
        <x:v>SEA-STA</x:v>
      </x:c>
      <x:c r="J263" s="52" t="str">
        <x:v>Stadium Station and Royal Brougham Way approach</x:v>
      </x:c>
      <x:c r="K263" s="53" t="n">
        <x:v>47.5917</x:v>
      </x:c>
      <x:c r="L263" s="53" t="n">
        <x:v>-122.3272</x:v>
      </x:c>
      <x:c r="M263" s="56" t="n">
        <x:v>250</x:v>
      </x:c>
      <x:c r="N263" s="56" t="str">
        <x:v>glb_model</x:v>
      </x:c>
      <x:c r="O263" s="56" t="n">
        <x:v>120</x:v>
      </x:c>
      <x:c r="P263" s="56" t="n">
        <x:v>45</x:v>
      </x:c>
      <x:c r="Q263" s="56" t="n">
        <x:v>6</x:v>
      </x:c>
      <x:c r="R263" s="56" t="n">
        <x:v>112</x:v>
      </x:c>
      <x:c r="S263" s="56" t="n">
        <x:v>0.05</x:v>
      </x:c>
      <x:c r="T263" s="52" t="str">
        <x:v>#F59E0B</x:v>
      </x:c>
      <x:c r="U263" s="55" t="n">
        <x:v>0.55</x:v>
      </x:c>
      <x:c r="V263" s="58" t="n">
        <x:f>'Funding Categories'!L144</x:f>
        <x:v>500000</x:v>
      </x:c>
      <x:c r="W263" s="52" t="str">
        <x:f>IF(V263&gt;0,"Yes","No")</x:f>
        <x:v>Yes</x:v>
      </x:c>
      <x:c r="X263" s="52" t="str">
        <x:v>temporary gates; queue barriers; portable fare equipment</x:v>
      </x:c>
      <x:c r="Y263" s="52" t="str">
        <x:v>concept_only</x:v>
      </x:c>
      <x:c r="Z263" s="52" t="str">
        <x:v>planning_anchor ±25–100 m</x:v>
      </x:c>
      <x:c r="AA263" s="52" t="str">
        <x:v>engineering_assumption</x:v>
      </x:c>
      <x:c r="AB263" s="52" t="str">
        <x:v>https://www.soundtransit.org/ride-with-us/popular-destinations/lumen-field</x:v>
      </x:c>
    </x:row>
    <x:row r="264">
      <x:c r="A264" s="52" t="str">
        <x:v>seattle-station-PERM</x:v>
      </x:c>
      <x:c r="B264" s="52" t="n">
        <x:v>11</x:v>
      </x:c>
      <x:c r="C264" s="52" t="str">
        <x:v>seattle</x:v>
      </x:c>
      <x:c r="D264" s="52" t="str">
        <x:v>Seattle</x:v>
      </x:c>
      <x:c r="E264" s="52" t="str">
        <x:v>station</x:v>
      </x:c>
      <x:c r="F264" s="52" t="str">
        <x:v>Station-capacity package</x:v>
      </x:c>
      <x:c r="G264" s="52" t="str">
        <x:v>permanent</x:v>
      </x:c>
      <x:c r="H264" s="52" t="str">
        <x:v>sea-stadium-station</x:v>
      </x:c>
      <x:c r="I264" s="52" t="str">
        <x:v>SEA-STA</x:v>
      </x:c>
      <x:c r="J264" s="52" t="str">
        <x:v>Stadium Station and Royal Brougham Way approach</x:v>
      </x:c>
      <x:c r="K264" s="53" t="n">
        <x:v>47.5917</x:v>
      </x:c>
      <x:c r="L264" s="53" t="n">
        <x:v>-122.3272</x:v>
      </x:c>
      <x:c r="M264" s="56" t="n">
        <x:v>250</x:v>
      </x:c>
      <x:c r="N264" s="56" t="str">
        <x:v>glb_model</x:v>
      </x:c>
      <x:c r="O264" s="56" t="n">
        <x:v>120</x:v>
      </x:c>
      <x:c r="P264" s="56" t="n">
        <x:v>45</x:v>
      </x:c>
      <x:c r="Q264" s="56" t="n">
        <x:v>18</x:v>
      </x:c>
      <x:c r="R264" s="56" t="n">
        <x:v>119</x:v>
      </x:c>
      <x:c r="S264" s="56" t="n">
        <x:v>0.1</x:v>
      </x:c>
      <x:c r="T264" s="52" t="str">
        <x:v>#2563EB</x:v>
      </x:c>
      <x:c r="U264" s="55" t="n">
        <x:v>0.85</x:v>
      </x:c>
      <x:c r="V264" s="58" t="n">
        <x:f>'Funding Categories'!M144</x:f>
        <x:v>2000000</x:v>
      </x:c>
      <x:c r="W264" s="52" t="str">
        <x:f>IF(V264&gt;0,"Yes","No")</x:f>
        <x:v>Yes</x:v>
      </x:c>
      <x:c r="X264" s="52" t="str">
        <x:v>platform, entry and circulation expansion</x:v>
      </x:c>
      <x:c r="Y264" s="52" t="str">
        <x:v>concept_only</x:v>
      </x:c>
      <x:c r="Z264" s="52" t="str">
        <x:v>planning_anchor ±25–100 m</x:v>
      </x:c>
      <x:c r="AA264" s="52" t="str">
        <x:v>engineering_assumption</x:v>
      </x:c>
      <x:c r="AB264" s="52" t="str">
        <x:v>https://www.soundtransit.org/ride-with-us/popular-destinations/lumen-field</x:v>
      </x:c>
    </x:row>
    <x:row r="265">
      <x:c r="A265" s="52" t="str">
        <x:v>seattle-toc-TMP</x:v>
      </x:c>
      <x:c r="B265" s="52" t="n">
        <x:v>11</x:v>
      </x:c>
      <x:c r="C265" s="52" t="str">
        <x:v>seattle</x:v>
      </x:c>
      <x:c r="D265" s="52" t="str">
        <x:v>Seattle</x:v>
      </x:c>
      <x:c r="E265" s="52" t="str">
        <x:v>toc</x:v>
      </x:c>
      <x:c r="F265" s="52" t="str">
        <x:v>Integrated traffic operations</x:v>
      </x:c>
      <x:c r="G265" s="52" t="str">
        <x:v>temporary</x:v>
      </x:c>
      <x:c r="H265" s="52" t="str">
        <x:v>sea-occidental-south</x:v>
      </x:c>
      <x:c r="I265" s="52" t="str">
        <x:v>SEA-OCC</x:v>
      </x:c>
      <x:c r="J265" s="52" t="str">
        <x:v>Occidental Avenue South plaza approach</x:v>
      </x:c>
      <x:c r="K265" s="53" t="n">
        <x:v>47.5925</x:v>
      </x:c>
      <x:c r="L265" s="53" t="n">
        <x:v>-122.3328</x:v>
      </x:c>
      <x:c r="M265" s="56" t="n">
        <x:v>300</x:v>
      </x:c>
      <x:c r="N265" s="56" t="str">
        <x:v>glb_model</x:v>
      </x:c>
      <x:c r="O265" s="56" t="n">
        <x:v>60</x:v>
      </x:c>
      <x:c r="P265" s="56" t="n">
        <x:v>40</x:v>
      </x:c>
      <x:c r="Q265" s="56" t="n">
        <x:v>4</x:v>
      </x:c>
      <x:c r="R265" s="56" t="n">
        <x:v>129</x:v>
      </x:c>
      <x:c r="S265" s="56" t="n">
        <x:v>0.05</x:v>
      </x:c>
      <x:c r="T265" s="52" t="str">
        <x:v>#F59E0B</x:v>
      </x:c>
      <x:c r="U265" s="55" t="n">
        <x:v>0.55</x:v>
      </x:c>
      <x:c r="V265" s="58" t="n">
        <x:f>'Funding Categories'!L145</x:f>
        <x:v>375000</x:v>
      </x:c>
      <x:c r="W265" s="52" t="str">
        <x:f>IF(V265&gt;0,"Yes","No")</x:f>
        <x:v>Yes</x:v>
      </x:c>
      <x:c r="X265" s="52" t="str">
        <x:v>unified incident command and temporary sensor feeds</x:v>
      </x:c>
      <x:c r="Y265" s="52" t="str">
        <x:v>concept_only</x:v>
      </x:c>
      <x:c r="Z265" s="52" t="str">
        <x:v>planning_anchor ±25–100 m</x:v>
      </x:c>
      <x:c r="AA265" s="52" t="str">
        <x:v>engineering_assumption</x:v>
      </x:c>
      <x:c r="AB265" s="52" t="str">
        <x:v>https://www.lumenfield.com/multi-day-events/taylor-swift-2023</x:v>
      </x:c>
    </x:row>
    <x:row r="266">
      <x:c r="A266" s="52" t="str">
        <x:v>seattle-toc-PERM</x:v>
      </x:c>
      <x:c r="B266" s="52" t="n">
        <x:v>11</x:v>
      </x:c>
      <x:c r="C266" s="52" t="str">
        <x:v>seattle</x:v>
      </x:c>
      <x:c r="D266" s="52" t="str">
        <x:v>Seattle</x:v>
      </x:c>
      <x:c r="E266" s="52" t="str">
        <x:v>toc</x:v>
      </x:c>
      <x:c r="F266" s="52" t="str">
        <x:v>Integrated traffic operations</x:v>
      </x:c>
      <x:c r="G266" s="52" t="str">
        <x:v>permanent</x:v>
      </x:c>
      <x:c r="H266" s="52" t="str">
        <x:v>sea-occidental-south</x:v>
      </x:c>
      <x:c r="I266" s="52" t="str">
        <x:v>SEA-OCC</x:v>
      </x:c>
      <x:c r="J266" s="52" t="str">
        <x:v>Occidental Avenue South plaza approach</x:v>
      </x:c>
      <x:c r="K266" s="53" t="n">
        <x:v>47.5925</x:v>
      </x:c>
      <x:c r="L266" s="53" t="n">
        <x:v>-122.3328</x:v>
      </x:c>
      <x:c r="M266" s="56" t="n">
        <x:v>300</x:v>
      </x:c>
      <x:c r="N266" s="56" t="str">
        <x:v>glb_model</x:v>
      </x:c>
      <x:c r="O266" s="56" t="n">
        <x:v>60</x:v>
      </x:c>
      <x:c r="P266" s="56" t="n">
        <x:v>40</x:v>
      </x:c>
      <x:c r="Q266" s="56" t="n">
        <x:v>12</x:v>
      </x:c>
      <x:c r="R266" s="56" t="n">
        <x:v>136</x:v>
      </x:c>
      <x:c r="S266" s="56" t="n">
        <x:v>0.1</x:v>
      </x:c>
      <x:c r="T266" s="52" t="str">
        <x:v>#2563EB</x:v>
      </x:c>
      <x:c r="U266" s="55" t="n">
        <x:v>0.85</x:v>
      </x:c>
      <x:c r="V266" s="58" t="n">
        <x:f>'Funding Categories'!M145</x:f>
        <x:v>1125000</x:v>
      </x:c>
      <x:c r="W266" s="52" t="str">
        <x:f>IF(V266&gt;0,"Yes","No")</x:f>
        <x:v>Yes</x:v>
      </x:c>
      <x:c r="X266" s="52" t="str">
        <x:v>integrated operations center and adaptive dispatch</x:v>
      </x:c>
      <x:c r="Y266" s="52" t="str">
        <x:v>concept_only</x:v>
      </x:c>
      <x:c r="Z266" s="52" t="str">
        <x:v>planning_anchor ±25–100 m</x:v>
      </x:c>
      <x:c r="AA266" s="52" t="str">
        <x:v>engineering_assumption</x:v>
      </x:c>
      <x:c r="AB266" s="52" t="str">
        <x:v>https://www.lumenfield.com/multi-day-events/taylor-swift-2023</x:v>
      </x:c>
    </x:row>
    <x:row r="267">
      <x:c r="A267" s="52" t="str">
        <x:v>seattle-access-TMP</x:v>
      </x:c>
      <x:c r="B267" s="52" t="n">
        <x:v>11</x:v>
      </x:c>
      <x:c r="C267" s="52" t="str">
        <x:v>seattle</x:v>
      </x:c>
      <x:c r="D267" s="52" t="str">
        <x:v>Seattle</x:v>
      </x:c>
      <x:c r="E267" s="52" t="str">
        <x:v>access</x:v>
      </x:c>
      <x:c r="F267" s="52" t="str">
        <x:v>ADA/microtransit access</x:v>
      </x:c>
      <x:c r="G267" s="52" t="str">
        <x:v>temporary</x:v>
      </x:c>
      <x:c r="H267" s="52" t="str">
        <x:v>sea-stadium-station</x:v>
      </x:c>
      <x:c r="I267" s="52" t="str">
        <x:v>SEA-STA</x:v>
      </x:c>
      <x:c r="J267" s="52" t="str">
        <x:v>Stadium Station and Royal Brougham Way approach</x:v>
      </x:c>
      <x:c r="K267" s="53" t="n">
        <x:v>47.5917</x:v>
      </x:c>
      <x:c r="L267" s="53" t="n">
        <x:v>-122.3272</x:v>
      </x:c>
      <x:c r="M267" s="56" t="n">
        <x:v>250</x:v>
      </x:c>
      <x:c r="N267" s="56" t="str">
        <x:v>line_extrusion</x:v>
      </x:c>
      <x:c r="O267" s="56" t="n">
        <x:v>800</x:v>
      </x:c>
      <x:c r="P267" s="56" t="n">
        <x:v>3</x:v>
      </x:c>
      <x:c r="Q267" s="56" t="n">
        <x:v>0.1</x:v>
      </x:c>
      <x:c r="R267" s="56" t="n">
        <x:v>146</x:v>
      </x:c>
      <x:c r="S267" s="56" t="n">
        <x:v>0.05</x:v>
      </x:c>
      <x:c r="T267" s="52" t="str">
        <x:v>#F59E0B</x:v>
      </x:c>
      <x:c r="U267" s="55" t="n">
        <x:v>0.55</x:v>
      </x:c>
      <x:c r="V267" s="58" t="n">
        <x:f>'Funding Categories'!L146</x:f>
        <x:v>0</x:v>
      </x:c>
      <x:c r="W267" s="52" t="str">
        <x:f>IF(V267&gt;0,"Yes","No")</x:f>
        <x:v>No</x:v>
      </x:c>
      <x:c r="X267" s="52" t="str">
        <x:v>accessible shuttles; temporary ramps and staffed assistance</x:v>
      </x:c>
      <x:c r="Y267" s="52" t="str">
        <x:v>concept_only</x:v>
      </x:c>
      <x:c r="Z267" s="52" t="str">
        <x:v>planning_anchor ±25–100 m</x:v>
      </x:c>
      <x:c r="AA267" s="52" t="str">
        <x:v>engineering_assumption</x:v>
      </x:c>
      <x:c r="AB267" s="52" t="str">
        <x:v>https://www.soundtransit.org/ride-with-us/popular-destinations/lumen-field</x:v>
      </x:c>
    </x:row>
    <x:row r="268">
      <x:c r="A268" s="52" t="str">
        <x:v>seattle-access-PERM</x:v>
      </x:c>
      <x:c r="B268" s="52" t="n">
        <x:v>11</x:v>
      </x:c>
      <x:c r="C268" s="52" t="str">
        <x:v>seattle</x:v>
      </x:c>
      <x:c r="D268" s="52" t="str">
        <x:v>Seattle</x:v>
      </x:c>
      <x:c r="E268" s="52" t="str">
        <x:v>access</x:v>
      </x:c>
      <x:c r="F268" s="52" t="str">
        <x:v>ADA/microtransit access</x:v>
      </x:c>
      <x:c r="G268" s="52" t="str">
        <x:v>permanent</x:v>
      </x:c>
      <x:c r="H268" s="52" t="str">
        <x:v>sea-stadium-station</x:v>
      </x:c>
      <x:c r="I268" s="52" t="str">
        <x:v>SEA-STA</x:v>
      </x:c>
      <x:c r="J268" s="52" t="str">
        <x:v>Stadium Station and Royal Brougham Way approach</x:v>
      </x:c>
      <x:c r="K268" s="53" t="n">
        <x:v>47.5917</x:v>
      </x:c>
      <x:c r="L268" s="53" t="n">
        <x:v>-122.3272</x:v>
      </x:c>
      <x:c r="M268" s="56" t="n">
        <x:v>250</x:v>
      </x:c>
      <x:c r="N268" s="56" t="str">
        <x:v>line_extrusion</x:v>
      </x:c>
      <x:c r="O268" s="56" t="n">
        <x:v>800</x:v>
      </x:c>
      <x:c r="P268" s="56" t="n">
        <x:v>3</x:v>
      </x:c>
      <x:c r="Q268" s="56" t="n">
        <x:v>0.1</x:v>
      </x:c>
      <x:c r="R268" s="56" t="n">
        <x:v>153</x:v>
      </x:c>
      <x:c r="S268" s="56" t="n">
        <x:v>0.1</x:v>
      </x:c>
      <x:c r="T268" s="52" t="str">
        <x:v>#2563EB</x:v>
      </x:c>
      <x:c r="U268" s="55" t="n">
        <x:v>0.85</x:v>
      </x:c>
      <x:c r="V268" s="58" t="n">
        <x:f>'Funding Categories'!M146</x:f>
        <x:v>0</x:v>
      </x:c>
      <x:c r="W268" s="52" t="str">
        <x:f>IF(V268&gt;0,"Yes","No")</x:f>
        <x:v>No</x:v>
      </x:c>
      <x:c r="X268" s="52" t="str">
        <x:v>ADA ramps; tactile guidance; accessible first/last-mile network</x:v>
      </x:c>
      <x:c r="Y268" s="52" t="str">
        <x:v>concept_only</x:v>
      </x:c>
      <x:c r="Z268" s="52" t="str">
        <x:v>planning_anchor ±25–100 m</x:v>
      </x:c>
      <x:c r="AA268" s="52" t="str">
        <x:v>engineering_assumption</x:v>
      </x:c>
      <x:c r="AB268" s="52" t="str">
        <x:v>https://www.soundtransit.org/ride-with-us/popular-destinations/lumen-field</x:v>
      </x:c>
    </x:row>
  </x:sheetData>
  <x:mergeCells>
    <x:mergeCell ref="A1:AB1"/>
    <x:mergeCell ref="A2:AB2"/>
  </x:mergeCells>
  <x:conditionalFormatting sqref="W5:W268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ada28a16ff854a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5" hidden="0" customWidth="1"/>
    <x:col min="3" max="3" width="31" hidden="0" customWidth="1"/>
    <x:col min="4" max="4" width="35" hidden="0" customWidth="1"/>
    <x:col min="5" max="5" width="22" hidden="0" customWidth="1"/>
    <x:col min="6" max="6" width="26" hidden="0" customWidth="1"/>
    <x:col min="7" max="7" width="14" hidden="0" customWidth="1"/>
    <x:col min="8" max="8" width="21" hidden="0" customWidth="1"/>
    <x:col min="9" max="9" width="23" hidden="0" customWidth="1"/>
    <x:col min="10" max="10" width="20" hidden="0" customWidth="1"/>
    <x:col min="11" max="11" width="20" hidden="0" customWidth="1"/>
    <x:col min="12" max="12" width="40" hidden="0" customWidth="1"/>
    <x:col min="13" max="13" width="28" hidden="0" customWidth="1"/>
    <x:col min="14" max="14" width="28" hidden="0" customWidth="1"/>
    <x:col min="15" max="15" width="68" hidden="0" customWidth="1"/>
    <x:col min="16" max="16" width="68" hidden="0" customWidth="1"/>
  </x:cols>
  <x:sheetData>
    <x:row r="1" ht="30" customHeight="1">
      <x:c r="A1" s="43" t="str">
        <x:v>Comparable NFL, Concert and Stadium-Scale Events</x:v>
      </x:c>
    </x:row>
    <x:row r="2" ht="40" customHeight="1">
      <x:c r="A2" s="46" t="str">
        <x:v>Attendance is a gate/plaza planning ceiling, not a directly measured corridor pedestrian volume. Where transit boardings exist, the field is preserved separately because one person can generate multiple boardings.</x:v>
      </x:c>
    </x:row>
    <x:row r="4">
      <x:c r="A4" s="49" t="str">
        <x:v>analog_event_id</x:v>
      </x:c>
      <x:c r="B4" s="49" t="str">
        <x:v>host_region</x:v>
      </x:c>
      <x:c r="C4" s="49" t="str">
        <x:v>venue</x:v>
      </x:c>
      <x:c r="D4" s="49" t="str">
        <x:v>event</x:v>
      </x:c>
      <x:c r="E4" s="49" t="str">
        <x:v>event_type</x:v>
      </x:c>
      <x:c r="F4" s="49" t="str">
        <x:v>date_or_period</x:v>
      </x:c>
      <x:c r="G4" s="49" t="str">
        <x:v>event_days</x:v>
      </x:c>
      <x:c r="H4" s="49" t="str">
        <x:v>total_attendance</x:v>
      </x:c>
      <x:c r="I4" s="49" t="str">
        <x:v>per_event_attendance</x:v>
      </x:c>
      <x:c r="J4" s="49" t="str">
        <x:v>transit_boardings</x:v>
      </x:c>
      <x:c r="K4" s="49" t="str">
        <x:v>pedestrian_proxy</x:v>
      </x:c>
      <x:c r="L4" s="49" t="str">
        <x:v>qualifier</x:v>
      </x:c>
      <x:c r="M4" s="49" t="str">
        <x:v>recommended_model_use</x:v>
      </x:c>
      <x:c r="N4" s="49" t="str">
        <x:v>evidence_class</x:v>
      </x:c>
      <x:c r="O4" s="49" t="str">
        <x:v>attendance_source_url</x:v>
      </x:c>
      <x:c r="P4" s="49" t="str">
        <x:v>transit_source_url</x:v>
      </x:c>
    </x:row>
    <x:row r="5">
      <x:c r="A5" s="52" t="str">
        <x:v>ATL-CON-2023</x:v>
      </x:c>
      <x:c r="B5" s="52" t="str">
        <x:v>Atlanta</x:v>
      </x:c>
      <x:c r="C5" s="52" t="str">
        <x:v>Mercedes-Benz Stadium</x:v>
      </x:c>
      <x:c r="D5" s="52" t="str">
        <x:v>Taylor Swift Eras Tour</x:v>
      </x:c>
      <x:c r="E5" s="52" t="str">
        <x:v>concert</x:v>
      </x:c>
      <x:c r="F5" s="52" t="str">
        <x:v>2023-04-28 to 2023-04-30</x:v>
      </x:c>
      <x:c r="G5" s="54" t="n">
        <x:v>3</x:v>
      </x:c>
      <x:c r="H5" s="54" t="n">
        <x:v>180000</x:v>
      </x:c>
      <x:c r="I5" s="54" t="n">
        <x:v>60000</x:v>
      </x:c>
      <x:c r="J5" s="54"/>
      <x:c r="K5" s="54" t="n">
        <x:v>60000</x:v>
      </x:c>
      <x:c r="L5" s="52" t="str">
        <x:v>expected total from stadium officials; not audited observed count</x:v>
      </x:c>
      <x:c r="M5" s="52" t="str">
        <x:v>attendance_as_upper_bound</x:v>
      </x:c>
      <x:c r="N5" s="52" t="str">
        <x:v>venue expectation via local media</x:v>
      </x:c>
      <x:c r="O5" s="52" t="str">
        <x:v>https://www.fox5atlanta.com/news/photos-taylor-swift-at-mercedes-benz-stadium-in-atlanta</x:v>
      </x:c>
      <x:c r="P5" s="52"/>
    </x:row>
    <x:row r="6">
      <x:c r="A6" s="52" t="str">
        <x:v>BOS-NFL-2024</x:v>
      </x:c>
      <x:c r="B6" s="52" t="str">
        <x:v>Boston</x:v>
      </x:c>
      <x:c r="C6" s="52" t="str">
        <x:v>Gillette Stadium</x:v>
      </x:c>
      <x:c r="D6" s="52" t="str">
        <x:v>Miami Dolphins at New England Patriots</x:v>
      </x:c>
      <x:c r="E6" s="52" t="str">
        <x:v>NFL</x:v>
      </x:c>
      <x:c r="F6" s="52" t="str">
        <x:v>2024-10-06</x:v>
      </x:c>
      <x:c r="G6" s="54" t="n">
        <x:v>1</x:v>
      </x:c>
      <x:c r="H6" s="54" t="n">
        <x:v>64628</x:v>
      </x:c>
      <x:c r="I6" s="54" t="n">
        <x:v>64628</x:v>
      </x:c>
      <x:c r="J6" s="54"/>
      <x:c r="K6" s="54" t="n">
        <x:v>64628</x:v>
      </x:c>
      <x:c r="L6" s="52" t="str">
        <x:v>paid attendance</x:v>
      </x:c>
      <x:c r="M6" s="52" t="str">
        <x:v>attendance_as_upper_bound</x:v>
      </x:c>
      <x:c r="N6" s="52" t="str">
        <x:v>official NFL gamebook</x:v>
      </x:c>
      <x:c r="O6" s="52" t="str">
        <x:v>https://static.clubs.nfl.com/image/upload/patriots/epox1w0eoj3ips7qs7r8.pdf</x:v>
      </x:c>
      <x:c r="P6" s="52"/>
    </x:row>
    <x:row r="7">
      <x:c r="A7" s="52" t="str">
        <x:v>DAL-WWE-2022</x:v>
      </x:c>
      <x:c r="B7" s="52" t="str">
        <x:v>Dallas</x:v>
      </x:c>
      <x:c r="C7" s="52" t="str">
        <x:v>AT&amp;T Stadium</x:v>
      </x:c>
      <x:c r="D7" s="52" t="str">
        <x:v>WrestleMania 38</x:v>
      </x:c>
      <x:c r="E7" s="52" t="str">
        <x:v>stadium entertainment</x:v>
      </x:c>
      <x:c r="F7" s="52" t="str">
        <x:v>2022-04-02 to 2022-04-03</x:v>
      </x:c>
      <x:c r="G7" s="54" t="n">
        <x:v>2</x:v>
      </x:c>
      <x:c r="H7" s="54" t="n">
        <x:v>156352</x:v>
      </x:c>
      <x:c r="I7" s="54" t="n">
        <x:v>78176</x:v>
      </x:c>
      <x:c r="J7" s="54"/>
      <x:c r="K7" s="54" t="n">
        <x:v>78176</x:v>
      </x:c>
      <x:c r="L7" s="52" t="str">
        <x:v>promoter-announced total</x:v>
      </x:c>
      <x:c r="M7" s="52" t="str">
        <x:v>attendance_as_upper_bound</x:v>
      </x:c>
      <x:c r="N7" s="52" t="str">
        <x:v>official WWE release</x:v>
      </x:c>
      <x:c r="O7" s="52" t="str">
        <x:v>https://corporate.wwe.com/f/docs/press-releases/04042022_107.pdf</x:v>
      </x:c>
      <x:c r="P7" s="52"/>
    </x:row>
    <x:row r="8">
      <x:c r="A8" s="52" t="str">
        <x:v>HOU-NFL-2017</x:v>
      </x:c>
      <x:c r="B8" s="52" t="str">
        <x:v>Houston</x:v>
      </x:c>
      <x:c r="C8" s="52" t="str">
        <x:v>NRG Stadium</x:v>
      </x:c>
      <x:c r="D8" s="52" t="str">
        <x:v>Super Bowl LI</x:v>
      </x:c>
      <x:c r="E8" s="52" t="str">
        <x:v>NFL</x:v>
      </x:c>
      <x:c r="F8" s="52" t="str">
        <x:v>2017-02-05</x:v>
      </x:c>
      <x:c r="G8" s="54" t="n">
        <x:v>1</x:v>
      </x:c>
      <x:c r="H8" s="54" t="n">
        <x:v>70807</x:v>
      </x:c>
      <x:c r="I8" s="54" t="n">
        <x:v>70807</x:v>
      </x:c>
      <x:c r="J8" s="54"/>
      <x:c r="K8" s="54" t="n">
        <x:v>70807</x:v>
      </x:c>
      <x:c r="L8" s="52" t="str">
        <x:v>paid attendance</x:v>
      </x:c>
      <x:c r="M8" s="52" t="str">
        <x:v>attendance_as_upper_bound</x:v>
      </x:c>
      <x:c r="N8" s="52" t="str">
        <x:v>official NFL gamebook</x:v>
      </x:c>
      <x:c r="O8" s="52" t="str">
        <x:v>https://static.clubs.nfl.com/image/upload/v1578329293/patriots/duxq4dvro9amapous1vq.pdf</x:v>
      </x:c>
      <x:c r="P8" s="52"/>
    </x:row>
    <x:row r="9">
      <x:c r="A9" s="52" t="str">
        <x:v>KC-NFL-2024</x:v>
      </x:c>
      <x:c r="B9" s="52" t="str">
        <x:v>Kansas City</x:v>
      </x:c>
      <x:c r="C9" s="52" t="str">
        <x:v>GEHA Field at Arrowhead Stadium</x:v>
      </x:c>
      <x:c r="D9" s="52" t="str">
        <x:v>Chiefs major-game crowd benchmark</x:v>
      </x:c>
      <x:c r="E9" s="52" t="str">
        <x:v>NFL</x:v>
      </x:c>
      <x:c r="F9" s="52" t="str">
        <x:v>2024 season</x:v>
      </x:c>
      <x:c r="G9" s="54" t="n">
        <x:v>1</x:v>
      </x:c>
      <x:c r="H9" s="54" t="n">
        <x:v>70000</x:v>
      </x:c>
      <x:c r="I9" s="54" t="n">
        <x:v>70000</x:v>
      </x:c>
      <x:c r="J9" s="54"/>
      <x:c r="K9" s="54" t="n">
        <x:v>70000</x:v>
      </x:c>
      <x:c r="L9" s="52" t="str">
        <x:v>lower bound: more than 70,000 in-house</x:v>
      </x:c>
      <x:c r="M9" s="52" t="str">
        <x:v>attendance_as_lower_bound</x:v>
      </x:c>
      <x:c r="N9" s="52" t="str">
        <x:v>team-reported crowd scale</x:v>
      </x:c>
      <x:c r="O9" s="52" t="str">
        <x:v>https://www.chiefs.com/stadium/</x:v>
      </x:c>
      <x:c r="P9" s="52"/>
    </x:row>
    <x:row r="10">
      <x:c r="A10" s="52" t="str">
        <x:v>LA-NFL-2022</x:v>
      </x:c>
      <x:c r="B10" s="52" t="str">
        <x:v>Los Angeles</x:v>
      </x:c>
      <x:c r="C10" s="52" t="str">
        <x:v>SoFi Stadium</x:v>
      </x:c>
      <x:c r="D10" s="52" t="str">
        <x:v>Super Bowl LVI</x:v>
      </x:c>
      <x:c r="E10" s="52" t="str">
        <x:v>NFL</x:v>
      </x:c>
      <x:c r="F10" s="52" t="str">
        <x:v>2022-02-13</x:v>
      </x:c>
      <x:c r="G10" s="54" t="n">
        <x:v>1</x:v>
      </x:c>
      <x:c r="H10" s="54" t="n">
        <x:v>70048</x:v>
      </x:c>
      <x:c r="I10" s="54" t="n">
        <x:v>70048</x:v>
      </x:c>
      <x:c r="J10" s="54"/>
      <x:c r="K10" s="54" t="n">
        <x:v>70048</x:v>
      </x:c>
      <x:c r="L10" s="52" t="str">
        <x:v>official attendance</x:v>
      </x:c>
      <x:c r="M10" s="52" t="str">
        <x:v>attendance_as_upper_bound</x:v>
      </x:c>
      <x:c r="N10" s="52" t="str">
        <x:v>NFL record book / box score</x:v>
      </x:c>
      <x:c r="O10" s="52" t="str">
        <x:v>https://www.pro-football-reference.com/boxscores/202202130cin.htm</x:v>
      </x:c>
      <x:c r="P10" s="52"/>
    </x:row>
    <x:row r="11">
      <x:c r="A11" s="52" t="str">
        <x:v>LA-WWE-2023</x:v>
      </x:c>
      <x:c r="B11" s="52" t="str">
        <x:v>Los Angeles</x:v>
      </x:c>
      <x:c r="C11" s="52" t="str">
        <x:v>SoFi Stadium</x:v>
      </x:c>
      <x:c r="D11" s="52" t="str">
        <x:v>WrestleMania 39</x:v>
      </x:c>
      <x:c r="E11" s="52" t="str">
        <x:v>stadium entertainment</x:v>
      </x:c>
      <x:c r="F11" s="52" t="str">
        <x:v>2023-04-01 to 2023-04-02</x:v>
      </x:c>
      <x:c r="G11" s="54" t="n">
        <x:v>2</x:v>
      </x:c>
      <x:c r="H11" s="54" t="n">
        <x:v>161892</x:v>
      </x:c>
      <x:c r="I11" s="54" t="n">
        <x:v>80946</x:v>
      </x:c>
      <x:c r="J11" s="54"/>
      <x:c r="K11" s="54" t="n">
        <x:v>80946</x:v>
      </x:c>
      <x:c r="L11" s="52" t="str">
        <x:v>promoter-announced total</x:v>
      </x:c>
      <x:c r="M11" s="52" t="str">
        <x:v>attendance_as_upper_bound</x:v>
      </x:c>
      <x:c r="N11" s="52" t="str">
        <x:v>official WWE release</x:v>
      </x:c>
      <x:c r="O11" s="52" t="str">
        <x:v>https://corporate.wwe.com/about/news/2023/04-03-2023a</x:v>
      </x:c>
      <x:c r="P11" s="52"/>
    </x:row>
    <x:row r="12">
      <x:c r="A12" s="52" t="str">
        <x:v>MIA-NFL-2020</x:v>
      </x:c>
      <x:c r="B12" s="52" t="str">
        <x:v>Miami</x:v>
      </x:c>
      <x:c r="C12" s="52" t="str">
        <x:v>Hard Rock Stadium</x:v>
      </x:c>
      <x:c r="D12" s="52" t="str">
        <x:v>Super Bowl LIV</x:v>
      </x:c>
      <x:c r="E12" s="52" t="str">
        <x:v>NFL</x:v>
      </x:c>
      <x:c r="F12" s="52" t="str">
        <x:v>2020-02-02</x:v>
      </x:c>
      <x:c r="G12" s="54" t="n">
        <x:v>1</x:v>
      </x:c>
      <x:c r="H12" s="54" t="n">
        <x:v>62417</x:v>
      </x:c>
      <x:c r="I12" s="54" t="n">
        <x:v>62417</x:v>
      </x:c>
      <x:c r="J12" s="54"/>
      <x:c r="K12" s="54" t="n">
        <x:v>62417</x:v>
      </x:c>
      <x:c r="L12" s="52" t="str">
        <x:v>official attendance</x:v>
      </x:c>
      <x:c r="M12" s="52" t="str">
        <x:v>attendance_as_upper_bound</x:v>
      </x:c>
      <x:c r="N12" s="52" t="str">
        <x:v>NFL box score</x:v>
      </x:c>
      <x:c r="O12" s="52" t="str">
        <x:v>https://www.pro-football-reference.com/boxscores/202002020kan.htm</x:v>
      </x:c>
      <x:c r="P12" s="52"/>
    </x:row>
    <x:row r="13">
      <x:c r="A13" s="52" t="str">
        <x:v>NYNJ-CON-2023</x:v>
      </x:c>
      <x:c r="B13" s="52" t="str">
        <x:v>New York/New Jersey</x:v>
      </x:c>
      <x:c r="C13" s="52" t="str">
        <x:v>MetLife Stadium</x:v>
      </x:c>
      <x:c r="D13" s="52" t="str">
        <x:v>Taylor Swift Eras Tour</x:v>
      </x:c>
      <x:c r="E13" s="52" t="str">
        <x:v>concert</x:v>
      </x:c>
      <x:c r="F13" s="52" t="str">
        <x:v>2023-05-26 to 2023-05-28</x:v>
      </x:c>
      <x:c r="G13" s="54" t="n">
        <x:v>3</x:v>
      </x:c>
      <x:c r="H13" s="54" t="n">
        <x:v>217625</x:v>
      </x:c>
      <x:c r="I13" s="54" t="n">
        <x:v>72542</x:v>
      </x:c>
      <x:c r="J13" s="54"/>
      <x:c r="K13" s="54" t="n">
        <x:v>72542</x:v>
      </x:c>
      <x:c r="L13" s="52" t="str">
        <x:v>venue-reported three-night total; average rounded</x:v>
      </x:c>
      <x:c r="M13" s="52" t="str">
        <x:v>attendance_as_upper_bound</x:v>
      </x:c>
      <x:c r="N13" s="52" t="str">
        <x:v>venue report via media</x:v>
      </x:c>
      <x:c r="O13" s="52" t="str">
        <x:v>https://www.imdb.com/news/ni64100526/</x:v>
      </x:c>
      <x:c r="P13" s="52"/>
    </x:row>
    <x:row r="14">
      <x:c r="A14" s="52" t="str">
        <x:v>PHI-CON-2023</x:v>
      </x:c>
      <x:c r="B14" s="52" t="str">
        <x:v>Philadelphia</x:v>
      </x:c>
      <x:c r="C14" s="52" t="str">
        <x:v>Lincoln Financial Field</x:v>
      </x:c>
      <x:c r="D14" s="52" t="str">
        <x:v>Ed Sheeran Mathematics Tour</x:v>
      </x:c>
      <x:c r="E14" s="52" t="str">
        <x:v>concert</x:v>
      </x:c>
      <x:c r="F14" s="52" t="str">
        <x:v>2023-06-03</x:v>
      </x:c>
      <x:c r="G14" s="54" t="n">
        <x:v>1</x:v>
      </x:c>
      <x:c r="H14" s="54" t="n">
        <x:v>77900</x:v>
      </x:c>
      <x:c r="I14" s="54" t="n">
        <x:v>77900</x:v>
      </x:c>
      <x:c r="J14" s="54"/>
      <x:c r="K14" s="54" t="n">
        <x:v>77900</x:v>
      </x:c>
      <x:c r="L14" s="52" t="str">
        <x:v>venue spokesperson-reported</x:v>
      </x:c>
      <x:c r="M14" s="52" t="str">
        <x:v>attendance_as_upper_bound</x:v>
      </x:c>
      <x:c r="N14" s="52" t="str">
        <x:v>local media citing Eagles spokesperson</x:v>
      </x:c>
      <x:c r="O14" s="52" t="str">
        <x:v>https://billypenn.com/2023/06/05/ed-sheeran-philips-steaks-lincoln-financial-field/</x:v>
      </x:c>
      <x:c r="P14" s="52"/>
    </x:row>
    <x:row r="15">
      <x:c r="A15" s="52" t="str">
        <x:v>SF-CON-2023</x:v>
      </x:c>
      <x:c r="B15" s="52" t="str">
        <x:v>San Francisco Bay Area</x:v>
      </x:c>
      <x:c r="C15" s="52" t="str">
        <x:v>Levi's Stadium</x:v>
      </x:c>
      <x:c r="D15" s="52" t="str">
        <x:v>Taylor Swift Eras Tour</x:v>
      </x:c>
      <x:c r="E15" s="52" t="str">
        <x:v>concert</x:v>
      </x:c>
      <x:c r="F15" s="52" t="str">
        <x:v>2023-07-28</x:v>
      </x:c>
      <x:c r="G15" s="54" t="n">
        <x:v>1</x:v>
      </x:c>
      <x:c r="H15" s="54"/>
      <x:c r="I15" s="54"/>
      <x:c r="J15" s="54" t="n">
        <x:v>23400</x:v>
      </x:c>
      <x:c r="K15" s="54" t="n">
        <x:v>23400</x:v>
      </x:c>
      <x:c r="L15" s="52" t="str">
        <x:v>VTA event-day light-rail boardings; not unique people</x:v>
      </x:c>
      <x:c r="M15" s="52" t="str">
        <x:v>transit_boardings_observed</x:v>
      </x:c>
      <x:c r="N15" s="52" t="str">
        <x:v>official VTA release</x:v>
      </x:c>
      <x:c r="O15" s="52" t="str">
        <x:v>https://www.vta.org/media/37311</x:v>
      </x:c>
      <x:c r="P15" s="52" t="str">
        <x:v>https://www.vta.org/media/37311</x:v>
      </x:c>
    </x:row>
    <x:row r="16">
      <x:c r="A16" s="52" t="str">
        <x:v>SF-NFL-2016</x:v>
      </x:c>
      <x:c r="B16" s="52" t="str">
        <x:v>San Francisco Bay Area</x:v>
      </x:c>
      <x:c r="C16" s="52" t="str">
        <x:v>Levi's Stadium</x:v>
      </x:c>
      <x:c r="D16" s="52" t="str">
        <x:v>Super Bowl 50</x:v>
      </x:c>
      <x:c r="E16" s="52" t="str">
        <x:v>NFL</x:v>
      </x:c>
      <x:c r="F16" s="52" t="str">
        <x:v>2016-02-07</x:v>
      </x:c>
      <x:c r="G16" s="54" t="n">
        <x:v>1</x:v>
      </x:c>
      <x:c r="H16" s="54" t="n">
        <x:v>71088</x:v>
      </x:c>
      <x:c r="I16" s="54" t="n">
        <x:v>71088</x:v>
      </x:c>
      <x:c r="J16" s="54" t="n">
        <x:v>10000</x:v>
      </x:c>
      <x:c r="K16" s="54" t="n">
        <x:v>71088</x:v>
      </x:c>
      <x:c r="L16" s="52" t="str">
        <x:v>paid attendance; VTA boardings reported separately</x:v>
      </x:c>
      <x:c r="M16" s="52" t="str">
        <x:v>attendance_plus_transit</x:v>
      </x:c>
      <x:c r="N16" s="52" t="str">
        <x:v>NFL box score + official VTA analog</x:v>
      </x:c>
      <x:c r="O16" s="52" t="str">
        <x:v>https://www.pro-football-reference.com/boxscores/201602070den.htm</x:v>
      </x:c>
      <x:c r="P16" s="52" t="str">
        <x:v>https://www.vta.org/media/37311</x:v>
      </x:c>
    </x:row>
    <x:row r="17">
      <x:c r="A17" s="52" t="str">
        <x:v>SEA-CON-2023</x:v>
      </x:c>
      <x:c r="B17" s="52" t="str">
        <x:v>Seattle</x:v>
      </x:c>
      <x:c r="C17" s="52" t="str">
        <x:v>Lumen Field</x:v>
      </x:c>
      <x:c r="D17" s="52" t="str">
        <x:v>Taylor Swift Eras Tour night one</x:v>
      </x:c>
      <x:c r="E17" s="52" t="str">
        <x:v>concert</x:v>
      </x:c>
      <x:c r="F17" s="52" t="str">
        <x:v>2023-07-22</x:v>
      </x:c>
      <x:c r="G17" s="54" t="n">
        <x:v>1</x:v>
      </x:c>
      <x:c r="H17" s="54" t="n">
        <x:v>72171</x:v>
      </x:c>
      <x:c r="I17" s="54" t="n">
        <x:v>72171</x:v>
      </x:c>
      <x:c r="J17" s="54"/>
      <x:c r="K17" s="54" t="n">
        <x:v>72171</x:v>
      </x:c>
      <x:c r="L17" s="52" t="str">
        <x:v>reported first-night record</x:v>
      </x:c>
      <x:c r="M17" s="52" t="str">
        <x:v>attendance_as_upper_bound</x:v>
      </x:c>
      <x:c r="N17" s="52" t="str">
        <x:v>venue event page / reported record</x:v>
      </x:c>
      <x:c r="O17" s="52" t="str">
        <x:v>https://www.lumenfield.com/multi-day-events/taylor-swift-2023</x:v>
      </x:c>
      <x:c r="P17" s="52"/>
    </x:row>
    <x:row r="18">
      <x:c r="A18" s="52" t="str">
        <x:v>SEA-CON2-2023</x:v>
      </x:c>
      <x:c r="B18" s="52" t="str">
        <x:v>Seattle</x:v>
      </x:c>
      <x:c r="C18" s="52" t="str">
        <x:v>Lumen Field</x:v>
      </x:c>
      <x:c r="D18" s="52" t="str">
        <x:v>Ed Sheeran Mathematics Tour</x:v>
      </x:c>
      <x:c r="E18" s="52" t="str">
        <x:v>concert</x:v>
      </x:c>
      <x:c r="F18" s="52" t="str">
        <x:v>2023-08-26</x:v>
      </x:c>
      <x:c r="G18" s="54" t="n">
        <x:v>1</x:v>
      </x:c>
      <x:c r="H18" s="54" t="n">
        <x:v>77286</x:v>
      </x:c>
      <x:c r="I18" s="54" t="n">
        <x:v>77286</x:v>
      </x:c>
      <x:c r="J18" s="54"/>
      <x:c r="K18" s="54" t="n">
        <x:v>77286</x:v>
      </x:c>
      <x:c r="L18" s="52" t="str">
        <x:v>venue-reported record</x:v>
      </x:c>
      <x:c r="M18" s="52" t="str">
        <x:v>attendance_as_upper_bound</x:v>
      </x:c>
      <x:c r="N18" s="52" t="str">
        <x:v>local media citing venue</x:v>
      </x:c>
      <x:c r="O18" s="52" t="str">
        <x:v>https://www.fox13seattle.com/news/ed-sheeran-breaks-taylor-swifts-lumen-field-attendance-record</x:v>
      </x:c>
      <x:c r="P18" s="52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a50a12dc0f449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22" hidden="0" customWidth="1"/>
    <x:col min="8" max="8" width="22" hidden="0" customWidth="1"/>
    <x:col min="9" max="9" width="26" hidden="0" customWidth="1"/>
    <x:col min="10" max="10" width="18" hidden="0" customWidth="1"/>
    <x:col min="11" max="11" width="23" hidden="0" customWidth="1"/>
    <x:col min="12" max="12" width="15" hidden="0" customWidth="1"/>
    <x:col min="13" max="13" width="15" hidden="0" customWidth="1"/>
    <x:col min="14" max="14" width="20" hidden="0" customWidth="1"/>
    <x:col min="15" max="15" width="12" hidden="0" customWidth="1"/>
  </x:cols>
  <x:sheetData>
    <x:row r="1" ht="30" customHeight="1">
      <x:c r="A1" s="43" t="str">
        <x:v>Diabetes-Style Numeric World Cup Mobility Dataset</x:v>
      </x:c>
    </x:row>
    <x:row r="2" ht="40" customHeight="1">
      <x:c r="A2" s="46" t="str">
        <x:v>All fields are numeric and Outcome remains the final column. PrimaryAreaCode joins to Pedestrian Areas.area_code. The spatial assignment and AreaPedestrianVolume are modeled features for demonstration, not observations.</x:v>
      </x:c>
    </x:row>
    <x:row r="4">
      <x:c r="A4" s="49" t="str">
        <x:v>ScenarioID</x:v>
      </x:c>
      <x:c r="B4" s="49" t="str">
        <x:v>HostRegionCode</x:v>
      </x:c>
      <x:c r="C4" s="49" t="str">
        <x:v>PrimaryAreaCode</x:v>
      </x:c>
      <x:c r="D4" s="49" t="str">
        <x:v>MatchStageCode</x:v>
      </x:c>
      <x:c r="E4" s="49" t="str">
        <x:v>StadiumCapacity</x:v>
      </x:c>
      <x:c r="F4" s="49" t="str">
        <x:v>TicketHolders</x:v>
      </x:c>
      <x:c r="G4" s="49" t="str">
        <x:v>TransitPassengers</x:v>
      </x:c>
      <x:c r="H4" s="49" t="str">
        <x:v>PedestrianVolume</x:v>
      </x:c>
      <x:c r="I4" s="49" t="str">
        <x:v>AreaPedestrianVolume</x:v>
      </x:c>
      <x:c r="J4" s="49" t="str">
        <x:v>EgressMinutes</x:v>
      </x:c>
      <x:c r="K4" s="49" t="str">
        <x:v>FTAFundingMillions</x:v>
      </x:c>
      <x:c r="L4" s="49" t="str">
        <x:v>Latitude</x:v>
      </x:c>
      <x:c r="M4" s="49" t="str">
        <x:v>Longitude</x:v>
      </x:c>
      <x:c r="N4" s="49" t="str">
        <x:v>AnalysisRadiusM</x:v>
      </x:c>
      <x:c r="O4" s="49" t="str">
        <x:v>Outcome</x:v>
      </x:c>
    </x:row>
    <x:row r="5">
      <x:c r="A5" s="54" t="n">
        <x:v>1</x:v>
      </x:c>
      <x:c r="B5" s="54" t="n">
        <x:v>8</x:v>
      </x:c>
      <x:c r="C5" s="54" t="n">
        <x:v>15</x:v>
      </x:c>
      <x:c r="D5" s="54" t="n">
        <x:v>0</x:v>
      </x:c>
      <x:c r="E5" s="54" t="n">
        <x:v>80663</x:v>
      </x:c>
      <x:c r="F5" s="54" t="n">
        <x:v>80000</x:v>
      </x:c>
      <x:c r="G5" s="54" t="n">
        <x:v>21695</x:v>
      </x:c>
      <x:c r="H5" s="54" t="n">
        <x:v>53000</x:v>
      </x:c>
      <x:c r="I5" s="54" t="n">
        <x:v>29150</x:v>
      </x:c>
      <x:c r="J5" s="54" t="n">
        <x:v>60</x:v>
      </x:c>
      <x:c r="K5" s="53" t="n">
        <x:v>10.438681</x:v>
      </x:c>
      <x:c r="L5" s="53" t="n">
        <x:v>40.807664</x:v>
      </x:c>
      <x:c r="M5" s="53" t="n">
        <x:v>-74.069833</x:v>
      </x:c>
      <x:c r="N5" s="54" t="n">
        <x:v>250</x:v>
      </x:c>
      <x:c r="O5" s="54" t="n">
        <x:v>1</x:v>
      </x:c>
    </x:row>
    <x:row r="6">
      <x:c r="A6" s="54" t="n">
        <x:v>2</x:v>
      </x:c>
      <x:c r="B6" s="54" t="n">
        <x:v>8</x:v>
      </x:c>
      <x:c r="C6" s="54" t="n">
        <x:v>15</x:v>
      </x:c>
      <x:c r="D6" s="54" t="n">
        <x:v>0</x:v>
      </x:c>
      <x:c r="E6" s="54" t="n">
        <x:v>80663</x:v>
      </x:c>
      <x:c r="F6" s="54" t="n">
        <x:v>78401</x:v>
      </x:c>
      <x:c r="G6" s="54" t="n">
        <x:v>26221</x:v>
      </x:c>
      <x:c r="H6" s="54" t="n">
        <x:v>42000</x:v>
      </x:c>
      <x:c r="I6" s="54" t="n">
        <x:v>23100</x:v>
      </x:c>
      <x:c r="J6" s="54" t="n">
        <x:v>70</x:v>
      </x:c>
      <x:c r="K6" s="53" t="n">
        <x:v>10.438681</x:v>
      </x:c>
      <x:c r="L6" s="53" t="n">
        <x:v>40.807664</x:v>
      </x:c>
      <x:c r="M6" s="53" t="n">
        <x:v>-74.069833</x:v>
      </x:c>
      <x:c r="N6" s="54" t="n">
        <x:v>250</x:v>
      </x:c>
      <x:c r="O6" s="54" t="n">
        <x:v>1</x:v>
      </x:c>
    </x:row>
    <x:row r="7">
      <x:c r="A7" s="54" t="n">
        <x:v>3</x:v>
      </x:c>
      <x:c r="B7" s="54" t="n">
        <x:v>8</x:v>
      </x:c>
      <x:c r="C7" s="54" t="n">
        <x:v>15</x:v>
      </x:c>
      <x:c r="D7" s="54" t="n">
        <x:v>0</x:v>
      </x:c>
      <x:c r="E7" s="54" t="n">
        <x:v>80663</x:v>
      </x:c>
      <x:c r="F7" s="54" t="n">
        <x:v>72777</x:v>
      </x:c>
      <x:c r="G7" s="54" t="n">
        <x:v>25946</x:v>
      </x:c>
      <x:c r="H7" s="54" t="n">
        <x:v>42000</x:v>
      </x:c>
      <x:c r="I7" s="54" t="n">
        <x:v>23100</x:v>
      </x:c>
      <x:c r="J7" s="54" t="n">
        <x:v>60</x:v>
      </x:c>
      <x:c r="K7" s="53" t="n">
        <x:v>10.438681</x:v>
      </x:c>
      <x:c r="L7" s="53" t="n">
        <x:v>40.807664</x:v>
      </x:c>
      <x:c r="M7" s="53" t="n">
        <x:v>-74.069833</x:v>
      </x:c>
      <x:c r="N7" s="54" t="n">
        <x:v>250</x:v>
      </x:c>
      <x:c r="O7" s="54" t="n">
        <x:v>0</x:v>
      </x:c>
    </x:row>
    <x:row r="8">
      <x:c r="A8" s="54" t="n">
        <x:v>4</x:v>
      </x:c>
      <x:c r="B8" s="54" t="n">
        <x:v>8</x:v>
      </x:c>
      <x:c r="C8" s="54" t="n">
        <x:v>15</x:v>
      </x:c>
      <x:c r="D8" s="54" t="n">
        <x:v>0</x:v>
      </x:c>
      <x:c r="E8" s="54" t="n">
        <x:v>80663</x:v>
      </x:c>
      <x:c r="F8" s="54" t="n">
        <x:v>80663</x:v>
      </x:c>
      <x:c r="G8" s="54" t="n">
        <x:v>20857</x:v>
      </x:c>
      <x:c r="H8" s="54" t="n">
        <x:v>56000</x:v>
      </x:c>
      <x:c r="I8" s="54" t="n">
        <x:v>30800</x:v>
      </x:c>
      <x:c r="J8" s="54" t="n">
        <x:v>60</x:v>
      </x:c>
      <x:c r="K8" s="53" t="n">
        <x:v>10.438681</x:v>
      </x:c>
      <x:c r="L8" s="53" t="n">
        <x:v>40.807664</x:v>
      </x:c>
      <x:c r="M8" s="53" t="n">
        <x:v>-74.069833</x:v>
      </x:c>
      <x:c r="N8" s="54" t="n">
        <x:v>250</x:v>
      </x:c>
      <x:c r="O8" s="54" t="n">
        <x:v>1</x:v>
      </x:c>
    </x:row>
    <x:row r="9">
      <x:c r="A9" s="54" t="n">
        <x:v>5</x:v>
      </x:c>
      <x:c r="B9" s="54" t="n">
        <x:v>8</x:v>
      </x:c>
      <x:c r="C9" s="54" t="n">
        <x:v>15</x:v>
      </x:c>
      <x:c r="D9" s="54" t="n">
        <x:v>0</x:v>
      </x:c>
      <x:c r="E9" s="54" t="n">
        <x:v>80663</x:v>
      </x:c>
      <x:c r="F9" s="54" t="n">
        <x:v>80663</x:v>
      </x:c>
      <x:c r="G9" s="54" t="n">
        <x:v>26009</x:v>
      </x:c>
      <x:c r="H9" s="54" t="n">
        <x:v>50000</x:v>
      </x:c>
      <x:c r="I9" s="54" t="n">
        <x:v>27500</x:v>
      </x:c>
      <x:c r="J9" s="54" t="n">
        <x:v>60</x:v>
      </x:c>
      <x:c r="K9" s="53" t="n">
        <x:v>10.438681</x:v>
      </x:c>
      <x:c r="L9" s="53" t="n">
        <x:v>40.807664</x:v>
      </x:c>
      <x:c r="M9" s="53" t="n">
        <x:v>-74.069833</x:v>
      </x:c>
      <x:c r="N9" s="54" t="n">
        <x:v>250</x:v>
      </x:c>
      <x:c r="O9" s="54" t="n">
        <x:v>1</x:v>
      </x:c>
    </x:row>
    <x:row r="10">
      <x:c r="A10" s="54" t="n">
        <x:v>6</x:v>
      </x:c>
      <x:c r="B10" s="54" t="n">
        <x:v>8</x:v>
      </x:c>
      <x:c r="C10" s="54" t="n">
        <x:v>15</x:v>
      </x:c>
      <x:c r="D10" s="54" t="n">
        <x:v>1</x:v>
      </x:c>
      <x:c r="E10" s="54" t="n">
        <x:v>80663</x:v>
      </x:c>
      <x:c r="F10" s="54" t="n">
        <x:v>73115</x:v>
      </x:c>
      <x:c r="G10" s="54" t="n">
        <x:v>22816</x:v>
      </x:c>
      <x:c r="H10" s="54" t="n">
        <x:v>45000</x:v>
      </x:c>
      <x:c r="I10" s="54" t="n">
        <x:v>24750</x:v>
      </x:c>
      <x:c r="J10" s="54" t="n">
        <x:v>60</x:v>
      </x:c>
      <x:c r="K10" s="53" t="n">
        <x:v>10.438681</x:v>
      </x:c>
      <x:c r="L10" s="53" t="n">
        <x:v>40.807664</x:v>
      </x:c>
      <x:c r="M10" s="53" t="n">
        <x:v>-74.069833</x:v>
      </x:c>
      <x:c r="N10" s="54" t="n">
        <x:v>250</x:v>
      </x:c>
      <x:c r="O10" s="54" t="n">
        <x:v>0</x:v>
      </x:c>
    </x:row>
    <x:row r="11">
      <x:c r="A11" s="54" t="n">
        <x:v>7</x:v>
      </x:c>
      <x:c r="B11" s="54" t="n">
        <x:v>8</x:v>
      </x:c>
      <x:c r="C11" s="54" t="n">
        <x:v>15</x:v>
      </x:c>
      <x:c r="D11" s="54" t="n">
        <x:v>2</x:v>
      </x:c>
      <x:c r="E11" s="54" t="n">
        <x:v>80663</x:v>
      </x:c>
      <x:c r="F11" s="54" t="n">
        <x:v>74273</x:v>
      </x:c>
      <x:c r="G11" s="54" t="n">
        <x:v>22258</x:v>
      </x:c>
      <x:c r="H11" s="54" t="n">
        <x:v>46000</x:v>
      </x:c>
      <x:c r="I11" s="54" t="n">
        <x:v>25300</x:v>
      </x:c>
      <x:c r="J11" s="54" t="n">
        <x:v>60</x:v>
      </x:c>
      <x:c r="K11" s="53" t="n">
        <x:v>10.438681</x:v>
      </x:c>
      <x:c r="L11" s="53" t="n">
        <x:v>40.807664</x:v>
      </x:c>
      <x:c r="M11" s="53" t="n">
        <x:v>-74.069833</x:v>
      </x:c>
      <x:c r="N11" s="54" t="n">
        <x:v>250</x:v>
      </x:c>
      <x:c r="O11" s="54" t="n">
        <x:v>0</x:v>
      </x:c>
    </x:row>
    <x:row r="12">
      <x:c r="A12" s="54" t="n">
        <x:v>8</x:v>
      </x:c>
      <x:c r="B12" s="54" t="n">
        <x:v>8</x:v>
      </x:c>
      <x:c r="C12" s="54" t="n">
        <x:v>15</x:v>
      </x:c>
      <x:c r="D12" s="54" t="n">
        <x:v>5</x:v>
      </x:c>
      <x:c r="E12" s="54" t="n">
        <x:v>80663</x:v>
      </x:c>
      <x:c r="F12" s="54" t="n">
        <x:v>80663</x:v>
      </x:c>
      <x:c r="G12" s="54" t="n">
        <x:v>21024</x:v>
      </x:c>
      <x:c r="H12" s="54" t="n">
        <x:v>65000</x:v>
      </x:c>
      <x:c r="I12" s="54" t="n">
        <x:v>35750</x:v>
      </x:c>
      <x:c r="J12" s="54" t="n">
        <x:v>60</x:v>
      </x:c>
      <x:c r="K12" s="53" t="n">
        <x:v>10.438681</x:v>
      </x:c>
      <x:c r="L12" s="53" t="n">
        <x:v>40.807664</x:v>
      </x:c>
      <x:c r="M12" s="53" t="n">
        <x:v>-74.069833</x:v>
      </x:c>
      <x:c r="N12" s="54" t="n">
        <x:v>250</x:v>
      </x:c>
      <x:c r="O12" s="54" t="n">
        <x:v>1</x:v>
      </x:c>
    </x:row>
    <x:row r="13">
      <x:c r="A13" s="54" t="n">
        <x:v>9</x:v>
      </x:c>
      <x:c r="B13" s="54" t="n">
        <x:v>3</x:v>
      </x:c>
      <x:c r="C13" s="54" t="n">
        <x:v>6</x:v>
      </x:c>
      <x:c r="D13" s="54" t="n">
        <x:v>1</x:v>
      </x:c>
      <x:c r="E13" s="54" t="n">
        <x:v>70649</x:v>
      </x:c>
      <x:c r="F13" s="54" t="n">
        <x:v>66636</x:v>
      </x:c>
      <x:c r="G13" s="54" t="n">
        <x:v>5748</x:v>
      </x:c>
      <x:c r="H13" s="54" t="n">
        <x:v>7439</x:v>
      </x:c>
      <x:c r="I13" s="54" t="n">
        <x:v>3348</x:v>
      </x:c>
      <x:c r="J13" s="54" t="n">
        <x:v>110</x:v>
      </x:c>
      <x:c r="K13" s="53" t="n">
        <x:v>10.033037</x:v>
      </x:c>
      <x:c r="L13" s="53" t="n">
        <x:v>32.7506</x:v>
      </x:c>
      <x:c r="M13" s="53" t="n">
        <x:v>-97.0915</x:v>
      </x:c>
      <x:c r="N13" s="54" t="n">
        <x:v>350</x:v>
      </x:c>
      <x:c r="O13" s="54" t="n">
        <x:v>0</x:v>
      </x:c>
    </x:row>
    <x:row r="14">
      <x:c r="A14" s="54" t="n">
        <x:v>10</x:v>
      </x:c>
      <x:c r="B14" s="54" t="n">
        <x:v>9</x:v>
      </x:c>
      <x:c r="C14" s="54" t="n">
        <x:v>17</x:v>
      </x:c>
      <x:c r="D14" s="54" t="n">
        <x:v>2</x:v>
      </x:c>
      <x:c r="E14" s="54" t="n">
        <x:v>68324</x:v>
      </x:c>
      <x:c r="F14" s="54" t="n">
        <x:v>60634</x:v>
      </x:c>
      <x:c r="G14" s="54" t="n">
        <x:v>34977</x:v>
      </x:c>
      <x:c r="H14" s="54" t="n">
        <x:v>30321</x:v>
      </x:c>
      <x:c r="I14" s="54" t="n">
        <x:v>18193</x:v>
      </x:c>
      <x:c r="J14" s="54" t="n">
        <x:v>87</x:v>
      </x:c>
      <x:c r="K14" s="53" t="n">
        <x:v>8.474327</x:v>
      </x:c>
      <x:c r="L14" s="53" t="n">
        <x:v>39.9047</x:v>
      </x:c>
      <x:c r="M14" s="53" t="n">
        <x:v>-75.1736</x:v>
      </x:c>
      <x:c r="N14" s="54" t="n">
        <x:v>250</x:v>
      </x:c>
      <x:c r="O14" s="54" t="n">
        <x:v>1</x:v>
      </x:c>
    </x:row>
    <x:row r="15">
      <x:c r="A15" s="54" t="n">
        <x:v>11</x:v>
      </x:c>
      <x:c r="B15" s="54" t="n">
        <x:v>6</x:v>
      </x:c>
      <x:c r="C15" s="54" t="n">
        <x:v>11</x:v>
      </x:c>
      <x:c r="D15" s="54" t="n">
        <x:v>0</x:v>
      </x:c>
      <x:c r="E15" s="54" t="n">
        <x:v>70492</x:v>
      </x:c>
      <x:c r="F15" s="54" t="n">
        <x:v>54851</x:v>
      </x:c>
      <x:c r="G15" s="54" t="n">
        <x:v>22521</x:v>
      </x:c>
      <x:c r="H15" s="54" t="n">
        <x:v>9051</x:v>
      </x:c>
      <x:c r="I15" s="54" t="n">
        <x:v>4526</x:v>
      </x:c>
      <x:c r="J15" s="54" t="n">
        <x:v>102</x:v>
      </x:c>
      <x:c r="K15" s="53" t="n">
        <x:v>9.603284</x:v>
      </x:c>
      <x:c r="L15" s="53" t="n">
        <x:v>33.9509</x:v>
      </x:c>
      <x:c r="M15" s="53" t="n">
        <x:v>-118.3441</x:v>
      </x:c>
      <x:c r="N15" s="54" t="n">
        <x:v>350</x:v>
      </x:c>
      <x:c r="O15" s="54" t="n">
        <x:v>0</x:v>
      </x:c>
    </x:row>
    <x:row r="16">
      <x:c r="A16" s="54" t="n">
        <x:v>12</x:v>
      </x:c>
      <x:c r="B16" s="54" t="n">
        <x:v>6</x:v>
      </x:c>
      <x:c r="C16" s="54" t="n">
        <x:v>11</x:v>
      </x:c>
      <x:c r="D16" s="54" t="n">
        <x:v>3</x:v>
      </x:c>
      <x:c r="E16" s="54" t="n">
        <x:v>70492</x:v>
      </x:c>
      <x:c r="F16" s="54" t="n">
        <x:v>70351</x:v>
      </x:c>
      <x:c r="G16" s="54" t="n">
        <x:v>23946</x:v>
      </x:c>
      <x:c r="H16" s="54" t="n">
        <x:v>19228</x:v>
      </x:c>
      <x:c r="I16" s="54" t="n">
        <x:v>9614</x:v>
      </x:c>
      <x:c r="J16" s="54" t="n">
        <x:v>118</x:v>
      </x:c>
      <x:c r="K16" s="53" t="n">
        <x:v>9.603284</x:v>
      </x:c>
      <x:c r="L16" s="53" t="n">
        <x:v>33.9509</x:v>
      </x:c>
      <x:c r="M16" s="53" t="n">
        <x:v>-118.3441</x:v>
      </x:c>
      <x:c r="N16" s="54" t="n">
        <x:v>350</x:v>
      </x:c>
      <x:c r="O16" s="54" t="n">
        <x:v>1</x:v>
      </x:c>
    </x:row>
    <x:row r="17">
      <x:c r="A17" s="54" t="n">
        <x:v>13</x:v>
      </x:c>
      <x:c r="B17" s="54" t="n">
        <x:v>1</x:v>
      </x:c>
      <x:c r="C17" s="54" t="n">
        <x:v>1</x:v>
      </x:c>
      <x:c r="D17" s="54" t="n">
        <x:v>0</x:v>
      </x:c>
      <x:c r="E17" s="54" t="n">
        <x:v>68239</x:v>
      </x:c>
      <x:c r="F17" s="54" t="n">
        <x:v>62734</x:v>
      </x:c>
      <x:c r="G17" s="54" t="n">
        <x:v>26616</x:v>
      </x:c>
      <x:c r="H17" s="54" t="n">
        <x:v>26017</x:v>
      </x:c>
      <x:c r="I17" s="54" t="n">
        <x:v>15090</x:v>
      </x:c>
      <x:c r="J17" s="54" t="n">
        <x:v>60</x:v>
      </x:c>
      <x:c r="K17" s="53" t="n">
        <x:v>9.391018</x:v>
      </x:c>
      <x:c r="L17" s="53" t="n">
        <x:v>33.7565</x:v>
      </x:c>
      <x:c r="M17" s="53" t="n">
        <x:v>-84.4038</x:v>
      </x:c>
      <x:c r="N17" s="54" t="n">
        <x:v>250</x:v>
      </x:c>
      <x:c r="O17" s="54" t="n">
        <x:v>0</x:v>
      </x:c>
    </x:row>
    <x:row r="18">
      <x:c r="A18" s="54" t="n">
        <x:v>14</x:v>
      </x:c>
      <x:c r="B18" s="54" t="n">
        <x:v>11</x:v>
      </x:c>
      <x:c r="C18" s="54" t="n">
        <x:v>21</x:v>
      </x:c>
      <x:c r="D18" s="54" t="n">
        <x:v>1</x:v>
      </x:c>
      <x:c r="E18" s="54" t="n">
        <x:v>66925</x:v>
      </x:c>
      <x:c r="F18" s="54" t="n">
        <x:v>63611</x:v>
      </x:c>
      <x:c r="G18" s="54" t="n">
        <x:v>28105</x:v>
      </x:c>
      <x:c r="H18" s="54" t="n">
        <x:v>38679</x:v>
      </x:c>
      <x:c r="I18" s="54" t="n">
        <x:v>21273</x:v>
      </x:c>
      <x:c r="J18" s="54" t="n">
        <x:v>61</x:v>
      </x:c>
      <x:c r="K18" s="53" t="n">
        <x:v>8.408439</x:v>
      </x:c>
      <x:c r="L18" s="53" t="n">
        <x:v>47.5917</x:v>
      </x:c>
      <x:c r="M18" s="53" t="n">
        <x:v>-122.3272</x:v>
      </x:c>
      <x:c r="N18" s="54" t="n">
        <x:v>250</x:v>
      </x:c>
      <x:c r="O18" s="54" t="n">
        <x:v>1</x:v>
      </x:c>
    </x:row>
    <x:row r="19">
      <x:c r="A19" s="54" t="n">
        <x:v>15</x:v>
      </x:c>
      <x:c r="B19" s="54" t="n">
        <x:v>9</x:v>
      </x:c>
      <x:c r="C19" s="54" t="n">
        <x:v>17</x:v>
      </x:c>
      <x:c r="D19" s="54" t="n">
        <x:v>0</x:v>
      </x:c>
      <x:c r="E19" s="54" t="n">
        <x:v>68324</x:v>
      </x:c>
      <x:c r="F19" s="54" t="n">
        <x:v>51982</x:v>
      </x:c>
      <x:c r="G19" s="54" t="n">
        <x:v>24767</x:v>
      </x:c>
      <x:c r="H19" s="54" t="n">
        <x:v>24763</x:v>
      </x:c>
      <x:c r="I19" s="54" t="n">
        <x:v>14858</x:v>
      </x:c>
      <x:c r="J19" s="54" t="n">
        <x:v>70</x:v>
      </x:c>
      <x:c r="K19" s="53" t="n">
        <x:v>8.474327</x:v>
      </x:c>
      <x:c r="L19" s="53" t="n">
        <x:v>39.9047</x:v>
      </x:c>
      <x:c r="M19" s="53" t="n">
        <x:v>-75.1736</x:v>
      </x:c>
      <x:c r="N19" s="54" t="n">
        <x:v>250</x:v>
      </x:c>
      <x:c r="O19" s="54" t="n">
        <x:v>0</x:v>
      </x:c>
    </x:row>
    <x:row r="20">
      <x:c r="A20" s="54" t="n">
        <x:v>16</x:v>
      </x:c>
      <x:c r="B20" s="54" t="n">
        <x:v>3</x:v>
      </x:c>
      <x:c r="C20" s="54" t="n">
        <x:v>6</x:v>
      </x:c>
      <x:c r="D20" s="54" t="n">
        <x:v>3</x:v>
      </x:c>
      <x:c r="E20" s="54" t="n">
        <x:v>70649</x:v>
      </x:c>
      <x:c r="F20" s="54" t="n">
        <x:v>62496</x:v>
      </x:c>
      <x:c r="G20" s="54" t="n">
        <x:v>3125</x:v>
      </x:c>
      <x:c r="H20" s="54" t="n">
        <x:v>5000</x:v>
      </x:c>
      <x:c r="I20" s="54" t="n">
        <x:v>2250</x:v>
      </x:c>
      <x:c r="J20" s="54" t="n">
        <x:v>122</x:v>
      </x:c>
      <x:c r="K20" s="53" t="n">
        <x:v>10.033037</x:v>
      </x:c>
      <x:c r="L20" s="53" t="n">
        <x:v>32.7506</x:v>
      </x:c>
      <x:c r="M20" s="53" t="n">
        <x:v>-97.0915</x:v>
      </x:c>
      <x:c r="N20" s="54" t="n">
        <x:v>350</x:v>
      </x:c>
      <x:c r="O20" s="54" t="n">
        <x:v>0</x:v>
      </x:c>
    </x:row>
    <x:row r="21">
      <x:c r="A21" s="54" t="n">
        <x:v>17</x:v>
      </x:c>
      <x:c r="B21" s="54" t="n">
        <x:v>6</x:v>
      </x:c>
      <x:c r="C21" s="54" t="n">
        <x:v>11</x:v>
      </x:c>
      <x:c r="D21" s="54" t="n">
        <x:v>0</x:v>
      </x:c>
      <x:c r="E21" s="54" t="n">
        <x:v>70492</x:v>
      </x:c>
      <x:c r="F21" s="54" t="n">
        <x:v>59553</x:v>
      </x:c>
      <x:c r="G21" s="54" t="n">
        <x:v>20842</x:v>
      </x:c>
      <x:c r="H21" s="54" t="n">
        <x:v>17884</x:v>
      </x:c>
      <x:c r="I21" s="54" t="n">
        <x:v>8942</x:v>
      </x:c>
      <x:c r="J21" s="54" t="n">
        <x:v>84</x:v>
      </x:c>
      <x:c r="K21" s="53" t="n">
        <x:v>9.603284</x:v>
      </x:c>
      <x:c r="L21" s="53" t="n">
        <x:v>33.9509</x:v>
      </x:c>
      <x:c r="M21" s="53" t="n">
        <x:v>-118.3441</x:v>
      </x:c>
      <x:c r="N21" s="54" t="n">
        <x:v>350</x:v>
      </x:c>
      <x:c r="O21" s="54" t="n">
        <x:v>0</x:v>
      </x:c>
    </x:row>
    <x:row r="22">
      <x:c r="A22" s="54" t="n">
        <x:v>18</x:v>
      </x:c>
      <x:c r="B22" s="54" t="n">
        <x:v>3</x:v>
      </x:c>
      <x:c r="C22" s="54" t="n">
        <x:v>6</x:v>
      </x:c>
      <x:c r="D22" s="54" t="n">
        <x:v>1</x:v>
      </x:c>
      <x:c r="E22" s="54" t="n">
        <x:v>70649</x:v>
      </x:c>
      <x:c r="F22" s="54" t="n">
        <x:v>58936</x:v>
      </x:c>
      <x:c r="G22" s="54" t="n">
        <x:v>5800</x:v>
      </x:c>
      <x:c r="H22" s="54" t="n">
        <x:v>7782</x:v>
      </x:c>
      <x:c r="I22" s="54" t="n">
        <x:v>3502</x:v>
      </x:c>
      <x:c r="J22" s="54" t="n">
        <x:v>110</x:v>
      </x:c>
      <x:c r="K22" s="53" t="n">
        <x:v>10.033037</x:v>
      </x:c>
      <x:c r="L22" s="53" t="n">
        <x:v>32.7506</x:v>
      </x:c>
      <x:c r="M22" s="53" t="n">
        <x:v>-97.0915</x:v>
      </x:c>
      <x:c r="N22" s="54" t="n">
        <x:v>350</x:v>
      </x:c>
      <x:c r="O22" s="54" t="n">
        <x:v>0</x:v>
      </x:c>
    </x:row>
    <x:row r="23">
      <x:c r="A23" s="54" t="n">
        <x:v>19</x:v>
      </x:c>
      <x:c r="B23" s="54" t="n">
        <x:v>10</x:v>
      </x:c>
      <x:c r="C23" s="54" t="n">
        <x:v>19</x:v>
      </x:c>
      <x:c r="D23" s="54" t="n">
        <x:v>0</x:v>
      </x:c>
      <x:c r="E23" s="54" t="n">
        <x:v>68827</x:v>
      </x:c>
      <x:c r="F23" s="54" t="n">
        <x:v>48455</x:v>
      </x:c>
      <x:c r="G23" s="54" t="n">
        <x:v>25167</x:v>
      </x:c>
      <x:c r="H23" s="54" t="n">
        <x:v>22405</x:v>
      </x:c>
      <x:c r="I23" s="54" t="n">
        <x:v>14563</x:v>
      </x:c>
      <x:c r="J23" s="54" t="n">
        <x:v>76</x:v>
      </x:c>
      <x:c r="K23" s="53" t="n">
        <x:v>8.807888</x:v>
      </x:c>
      <x:c r="L23" s="53" t="n">
        <x:v>37.403468</x:v>
      </x:c>
      <x:c r="M23" s="53" t="n">
        <x:v>-121.974908</x:v>
      </x:c>
      <x:c r="N23" s="54" t="n">
        <x:v>250</x:v>
      </x:c>
      <x:c r="O23" s="54" t="n">
        <x:v>0</x:v>
      </x:c>
    </x:row>
    <x:row r="24">
      <x:c r="A24" s="54" t="n">
        <x:v>20</x:v>
      </x:c>
      <x:c r="B24" s="54" t="n">
        <x:v>2</x:v>
      </x:c>
      <x:c r="C24" s="54" t="n">
        <x:v>3</x:v>
      </x:c>
      <x:c r="D24" s="54" t="n">
        <x:v>0</x:v>
      </x:c>
      <x:c r="E24" s="54" t="n">
        <x:v>64146</x:v>
      </x:c>
      <x:c r="F24" s="54" t="n">
        <x:v>56338</x:v>
      </x:c>
      <x:c r="G24" s="54" t="n">
        <x:v>15909</x:v>
      </x:c>
      <x:c r="H24" s="54" t="n">
        <x:v>10121</x:v>
      </x:c>
      <x:c r="I24" s="54" t="n">
        <x:v>6579</x:v>
      </x:c>
      <x:c r="J24" s="54" t="n">
        <x:v>98</x:v>
      </x:c>
      <x:c r="K24" s="53" t="n">
        <x:v>8.671598</x:v>
      </x:c>
      <x:c r="L24" s="53" t="n">
        <x:v>42.0889</x:v>
      </x:c>
      <x:c r="M24" s="53" t="n">
        <x:v>-71.2597</x:v>
      </x:c>
      <x:c r="N24" s="54" t="n">
        <x:v>250</x:v>
      </x:c>
      <x:c r="O24" s="54" t="n">
        <x:v>0</x:v>
      </x:c>
    </x:row>
    <x:row r="25">
      <x:c r="A25" s="54" t="n">
        <x:v>21</x:v>
      </x:c>
      <x:c r="B25" s="54" t="n">
        <x:v>1</x:v>
      </x:c>
      <x:c r="C25" s="54" t="n">
        <x:v>1</x:v>
      </x:c>
      <x:c r="D25" s="54" t="n">
        <x:v>2</x:v>
      </x:c>
      <x:c r="E25" s="54" t="n">
        <x:v>68239</x:v>
      </x:c>
      <x:c r="F25" s="54" t="n">
        <x:v>64284</x:v>
      </x:c>
      <x:c r="G25" s="54" t="n">
        <x:v>36479</x:v>
      </x:c>
      <x:c r="H25" s="54" t="n">
        <x:v>34285</x:v>
      </x:c>
      <x:c r="I25" s="54" t="n">
        <x:v>19885</x:v>
      </x:c>
      <x:c r="J25" s="54" t="n">
        <x:v>68</x:v>
      </x:c>
      <x:c r="K25" s="53" t="n">
        <x:v>9.391018</x:v>
      </x:c>
      <x:c r="L25" s="53" t="n">
        <x:v>33.7565</x:v>
      </x:c>
      <x:c r="M25" s="53" t="n">
        <x:v>-84.4038</x:v>
      </x:c>
      <x:c r="N25" s="54" t="n">
        <x:v>250</x:v>
      </x:c>
      <x:c r="O25" s="54" t="n">
        <x:v>1</x:v>
      </x:c>
    </x:row>
    <x:row r="26">
      <x:c r="A26" s="54" t="n">
        <x:v>22</x:v>
      </x:c>
      <x:c r="B26" s="54" t="n">
        <x:v>1</x:v>
      </x:c>
      <x:c r="C26" s="54" t="n">
        <x:v>1</x:v>
      </x:c>
      <x:c r="D26" s="54" t="n">
        <x:v>0</x:v>
      </x:c>
      <x:c r="E26" s="54" t="n">
        <x:v>68239</x:v>
      </x:c>
      <x:c r="F26" s="54" t="n">
        <x:v>61345</x:v>
      </x:c>
      <x:c r="G26" s="54" t="n">
        <x:v>28831</x:v>
      </x:c>
      <x:c r="H26" s="54" t="n">
        <x:v>24467</x:v>
      </x:c>
      <x:c r="I26" s="54" t="n">
        <x:v>14191</x:v>
      </x:c>
      <x:c r="J26" s="54" t="n">
        <x:v>65</x:v>
      </x:c>
      <x:c r="K26" s="53" t="n">
        <x:v>9.391018</x:v>
      </x:c>
      <x:c r="L26" s="53" t="n">
        <x:v>33.7565</x:v>
      </x:c>
      <x:c r="M26" s="53" t="n">
        <x:v>-84.4038</x:v>
      </x:c>
      <x:c r="N26" s="54" t="n">
        <x:v>250</x:v>
      </x:c>
      <x:c r="O26" s="54" t="n">
        <x:v>0</x:v>
      </x:c>
    </x:row>
    <x:row r="27">
      <x:c r="A27" s="54" t="n">
        <x:v>23</x:v>
      </x:c>
      <x:c r="B27" s="54" t="n">
        <x:v>8</x:v>
      </x:c>
      <x:c r="C27" s="54" t="n">
        <x:v>16</x:v>
      </x:c>
      <x:c r="D27" s="54" t="n">
        <x:v>0</x:v>
      </x:c>
      <x:c r="E27" s="54" t="n">
        <x:v>80663</x:v>
      </x:c>
      <x:c r="F27" s="54" t="n">
        <x:v>56559</x:v>
      </x:c>
      <x:c r="G27" s="54" t="n">
        <x:v>11567</x:v>
      </x:c>
      <x:c r="H27" s="54" t="n">
        <x:v>35660</x:v>
      </x:c>
      <x:c r="I27" s="54" t="n">
        <x:v>16047</x:v>
      </x:c>
      <x:c r="J27" s="54" t="n">
        <x:v>64</x:v>
      </x:c>
      <x:c r="K27" s="53" t="n">
        <x:v>10.438681</x:v>
      </x:c>
      <x:c r="L27" s="53" t="n">
        <x:v>40.81145</x:v>
      </x:c>
      <x:c r="M27" s="53" t="n">
        <x:v>-74.07075</x:v>
      </x:c>
      <x:c r="N27" s="54" t="n">
        <x:v>350</x:v>
      </x:c>
      <x:c r="O27" s="54" t="n">
        <x:v>0</x:v>
      </x:c>
    </x:row>
    <x:row r="28">
      <x:c r="A28" s="54" t="n">
        <x:v>24</x:v>
      </x:c>
      <x:c r="B28" s="54" t="n">
        <x:v>4</x:v>
      </x:c>
      <x:c r="C28" s="54" t="n">
        <x:v>7</x:v>
      </x:c>
      <x:c r="D28" s="54" t="n">
        <x:v>2</x:v>
      </x:c>
      <x:c r="E28" s="54" t="n">
        <x:v>68777</x:v>
      </x:c>
      <x:c r="F28" s="54" t="n">
        <x:v>57719</x:v>
      </x:c>
      <x:c r="G28" s="54" t="n">
        <x:v>15447</x:v>
      </x:c>
      <x:c r="H28" s="54" t="n">
        <x:v>17538</x:v>
      </x:c>
      <x:c r="I28" s="54" t="n">
        <x:v>10523</x:v>
      </x:c>
      <x:c r="J28" s="54" t="n">
        <x:v>88</x:v>
      </x:c>
      <x:c r="K28" s="53" t="n">
        <x:v>9.092387</x:v>
      </x:c>
      <x:c r="L28" s="53" t="n">
        <x:v>29.6852</x:v>
      </x:c>
      <x:c r="M28" s="53" t="n">
        <x:v>-95.407</x:v>
      </x:c>
      <x:c r="N28" s="54" t="n">
        <x:v>250</x:v>
      </x:c>
      <x:c r="O28" s="54" t="n">
        <x:v>0</x:v>
      </x:c>
    </x:row>
    <x:row r="29">
      <x:c r="A29" s="54" t="n">
        <x:v>25</x:v>
      </x:c>
      <x:c r="B29" s="54" t="n">
        <x:v>8</x:v>
      </x:c>
      <x:c r="C29" s="54" t="n">
        <x:v>15</x:v>
      </x:c>
      <x:c r="D29" s="54" t="n">
        <x:v>0</x:v>
      </x:c>
      <x:c r="E29" s="54" t="n">
        <x:v>80663</x:v>
      </x:c>
      <x:c r="F29" s="54" t="n">
        <x:v>69275</x:v>
      </x:c>
      <x:c r="G29" s="54" t="n">
        <x:v>23883</x:v>
      </x:c>
      <x:c r="H29" s="54" t="n">
        <x:v>38689</x:v>
      </x:c>
      <x:c r="I29" s="54" t="n">
        <x:v>21279</x:v>
      </x:c>
      <x:c r="J29" s="54" t="n">
        <x:v>78</x:v>
      </x:c>
      <x:c r="K29" s="53" t="n">
        <x:v>10.438681</x:v>
      </x:c>
      <x:c r="L29" s="53" t="n">
        <x:v>40.807664</x:v>
      </x:c>
      <x:c r="M29" s="53" t="n">
        <x:v>-74.069833</x:v>
      </x:c>
      <x:c r="N29" s="54" t="n">
        <x:v>250</x:v>
      </x:c>
      <x:c r="O29" s="54" t="n">
        <x:v>0</x:v>
      </x:c>
    </x:row>
    <x:row r="30">
      <x:c r="A30" s="54" t="n">
        <x:v>26</x:v>
      </x:c>
      <x:c r="B30" s="54" t="n">
        <x:v>10</x:v>
      </x:c>
      <x:c r="C30" s="54" t="n">
        <x:v>19</x:v>
      </x:c>
      <x:c r="D30" s="54" t="n">
        <x:v>0</x:v>
      </x:c>
      <x:c r="E30" s="54" t="n">
        <x:v>68827</x:v>
      </x:c>
      <x:c r="F30" s="54" t="n">
        <x:v>59441</x:v>
      </x:c>
      <x:c r="G30" s="54" t="n">
        <x:v>27460</x:v>
      </x:c>
      <x:c r="H30" s="54" t="n">
        <x:v>20194</x:v>
      </x:c>
      <x:c r="I30" s="54" t="n">
        <x:v>13126</x:v>
      </x:c>
      <x:c r="J30" s="54" t="n">
        <x:v>92</x:v>
      </x:c>
      <x:c r="K30" s="53" t="n">
        <x:v>8.807888</x:v>
      </x:c>
      <x:c r="L30" s="53" t="n">
        <x:v>37.403468</x:v>
      </x:c>
      <x:c r="M30" s="53" t="n">
        <x:v>-121.974908</x:v>
      </x:c>
      <x:c r="N30" s="54" t="n">
        <x:v>250</x:v>
      </x:c>
      <x:c r="O30" s="54" t="n">
        <x:v>0</x:v>
      </x:c>
    </x:row>
    <x:row r="31">
      <x:c r="A31" s="54" t="n">
        <x:v>27</x:v>
      </x:c>
      <x:c r="B31" s="54" t="n">
        <x:v>8</x:v>
      </x:c>
      <x:c r="C31" s="54" t="n">
        <x:v>16</x:v>
      </x:c>
      <x:c r="D31" s="54" t="n">
        <x:v>0</x:v>
      </x:c>
      <x:c r="E31" s="54" t="n">
        <x:v>80663</x:v>
      </x:c>
      <x:c r="F31" s="54" t="n">
        <x:v>62099</x:v>
      </x:c>
      <x:c r="G31" s="54" t="n">
        <x:v>15334</x:v>
      </x:c>
      <x:c r="H31" s="54" t="n">
        <x:v>40404</x:v>
      </x:c>
      <x:c r="I31" s="54" t="n">
        <x:v>18182</x:v>
      </x:c>
      <x:c r="J31" s="54" t="n">
        <x:v>63</x:v>
      </x:c>
      <x:c r="K31" s="53" t="n">
        <x:v>10.438681</x:v>
      </x:c>
      <x:c r="L31" s="53" t="n">
        <x:v>40.81145</x:v>
      </x:c>
      <x:c r="M31" s="53" t="n">
        <x:v>-74.07075</x:v>
      </x:c>
      <x:c r="N31" s="54" t="n">
        <x:v>350</x:v>
      </x:c>
      <x:c r="O31" s="54" t="n">
        <x:v>0</x:v>
      </x:c>
    </x:row>
    <x:row r="32">
      <x:c r="A32" s="54" t="n">
        <x:v>28</x:v>
      </x:c>
      <x:c r="B32" s="54" t="n">
        <x:v>1</x:v>
      </x:c>
      <x:c r="C32" s="54" t="n">
        <x:v>1</x:v>
      </x:c>
      <x:c r="D32" s="54" t="n">
        <x:v>0</x:v>
      </x:c>
      <x:c r="E32" s="54" t="n">
        <x:v>68239</x:v>
      </x:c>
      <x:c r="F32" s="54" t="n">
        <x:v>54975</x:v>
      </x:c>
      <x:c r="G32" s="54" t="n">
        <x:v>29505</x:v>
      </x:c>
      <x:c r="H32" s="54" t="n">
        <x:v>18162</x:v>
      </x:c>
      <x:c r="I32" s="54" t="n">
        <x:v>10534</x:v>
      </x:c>
      <x:c r="J32" s="54" t="n">
        <x:v>53</x:v>
      </x:c>
      <x:c r="K32" s="53" t="n">
        <x:v>9.391018</x:v>
      </x:c>
      <x:c r="L32" s="53" t="n">
        <x:v>33.7565</x:v>
      </x:c>
      <x:c r="M32" s="53" t="n">
        <x:v>-84.4038</x:v>
      </x:c>
      <x:c r="N32" s="54" t="n">
        <x:v>250</x:v>
      </x:c>
      <x:c r="O32" s="54" t="n">
        <x:v>0</x:v>
      </x:c>
    </x:row>
    <x:row r="33">
      <x:c r="A33" s="54" t="n">
        <x:v>29</x:v>
      </x:c>
      <x:c r="B33" s="54" t="n">
        <x:v>4</x:v>
      </x:c>
      <x:c r="C33" s="54" t="n">
        <x:v>7</x:v>
      </x:c>
      <x:c r="D33" s="54" t="n">
        <x:v>0</x:v>
      </x:c>
      <x:c r="E33" s="54" t="n">
        <x:v>68777</x:v>
      </x:c>
      <x:c r="F33" s="54" t="n">
        <x:v>64021</x:v>
      </x:c>
      <x:c r="G33" s="54" t="n">
        <x:v>21351</x:v>
      </x:c>
      <x:c r="H33" s="54" t="n">
        <x:v>29205</x:v>
      </x:c>
      <x:c r="I33" s="54" t="n">
        <x:v>17523</x:v>
      </x:c>
      <x:c r="J33" s="54" t="n">
        <x:v>89</x:v>
      </x:c>
      <x:c r="K33" s="53" t="n">
        <x:v>9.092387</x:v>
      </x:c>
      <x:c r="L33" s="53" t="n">
        <x:v>29.6852</x:v>
      </x:c>
      <x:c r="M33" s="53" t="n">
        <x:v>-95.407</x:v>
      </x:c>
      <x:c r="N33" s="54" t="n">
        <x:v>250</x:v>
      </x:c>
      <x:c r="O33" s="54" t="n">
        <x:v>1</x:v>
      </x:c>
    </x:row>
    <x:row r="34">
      <x:c r="A34" s="54" t="n">
        <x:v>30</x:v>
      </x:c>
      <x:c r="B34" s="54" t="n">
        <x:v>8</x:v>
      </x:c>
      <x:c r="C34" s="54" t="n">
        <x:v>15</x:v>
      </x:c>
      <x:c r="D34" s="54" t="n">
        <x:v>0</x:v>
      </x:c>
      <x:c r="E34" s="54" t="n">
        <x:v>80663</x:v>
      </x:c>
      <x:c r="F34" s="54" t="n">
        <x:v>60525</x:v>
      </x:c>
      <x:c r="G34" s="54" t="n">
        <x:v>16269</x:v>
      </x:c>
      <x:c r="H34" s="54" t="n">
        <x:v>40151</x:v>
      </x:c>
      <x:c r="I34" s="54" t="n">
        <x:v>22083</x:v>
      </x:c>
      <x:c r="J34" s="54" t="n">
        <x:v>67</x:v>
      </x:c>
      <x:c r="K34" s="53" t="n">
        <x:v>10.438681</x:v>
      </x:c>
      <x:c r="L34" s="53" t="n">
        <x:v>40.807664</x:v>
      </x:c>
      <x:c r="M34" s="53" t="n">
        <x:v>-74.069833</x:v>
      </x:c>
      <x:c r="N34" s="54" t="n">
        <x:v>250</x:v>
      </x:c>
      <x:c r="O34" s="54" t="n">
        <x:v>0</x:v>
      </x:c>
    </x:row>
    <x:row r="35">
      <x:c r="A35" s="54" t="n">
        <x:v>31</x:v>
      </x:c>
      <x:c r="B35" s="54" t="n">
        <x:v>10</x:v>
      </x:c>
      <x:c r="C35" s="54" t="n">
        <x:v>19</x:v>
      </x:c>
      <x:c r="D35" s="54" t="n">
        <x:v>0</x:v>
      </x:c>
      <x:c r="E35" s="54" t="n">
        <x:v>68827</x:v>
      </x:c>
      <x:c r="F35" s="54" t="n">
        <x:v>60789</x:v>
      </x:c>
      <x:c r="G35" s="54" t="n">
        <x:v>33297</x:v>
      </x:c>
      <x:c r="H35" s="54" t="n">
        <x:v>18823</x:v>
      </x:c>
      <x:c r="I35" s="54" t="n">
        <x:v>12235</x:v>
      </x:c>
      <x:c r="J35" s="54" t="n">
        <x:v>100</x:v>
      </x:c>
      <x:c r="K35" s="53" t="n">
        <x:v>8.807888</x:v>
      </x:c>
      <x:c r="L35" s="53" t="n">
        <x:v>37.403468</x:v>
      </x:c>
      <x:c r="M35" s="53" t="n">
        <x:v>-121.974908</x:v>
      </x:c>
      <x:c r="N35" s="54" t="n">
        <x:v>250</x:v>
      </x:c>
      <x:c r="O35" s="54" t="n">
        <x:v>1</x:v>
      </x:c>
    </x:row>
    <x:row r="36">
      <x:c r="A36" s="54" t="n">
        <x:v>32</x:v>
      </x:c>
      <x:c r="B36" s="54" t="n">
        <x:v>3</x:v>
      </x:c>
      <x:c r="C36" s="54" t="n">
        <x:v>6</x:v>
      </x:c>
      <x:c r="D36" s="54" t="n">
        <x:v>0</x:v>
      </x:c>
      <x:c r="E36" s="54" t="n">
        <x:v>70649</x:v>
      </x:c>
      <x:c r="F36" s="54" t="n">
        <x:v>61674</x:v>
      </x:c>
      <x:c r="G36" s="54" t="n">
        <x:v>9313</x:v>
      </x:c>
      <x:c r="H36" s="54" t="n">
        <x:v>9225</x:v>
      </x:c>
      <x:c r="I36" s="54" t="n">
        <x:v>4151</x:v>
      </x:c>
      <x:c r="J36" s="54" t="n">
        <x:v>96</x:v>
      </x:c>
      <x:c r="K36" s="53" t="n">
        <x:v>10.033037</x:v>
      </x:c>
      <x:c r="L36" s="53" t="n">
        <x:v>32.7506</x:v>
      </x:c>
      <x:c r="M36" s="53" t="n">
        <x:v>-97.0915</x:v>
      </x:c>
      <x:c r="N36" s="54" t="n">
        <x:v>350</x:v>
      </x:c>
      <x:c r="O36" s="54" t="n">
        <x:v>0</x:v>
      </x:c>
    </x:row>
    <x:row r="37">
      <x:c r="A37" s="54" t="n">
        <x:v>33</x:v>
      </x:c>
      <x:c r="B37" s="54" t="n">
        <x:v>9</x:v>
      </x:c>
      <x:c r="C37" s="54" t="n">
        <x:v>17</x:v>
      </x:c>
      <x:c r="D37" s="54" t="n">
        <x:v>0</x:v>
      </x:c>
      <x:c r="E37" s="54" t="n">
        <x:v>68324</x:v>
      </x:c>
      <x:c r="F37" s="54" t="n">
        <x:v>59330</x:v>
      </x:c>
      <x:c r="G37" s="54" t="n">
        <x:v>31822</x:v>
      </x:c>
      <x:c r="H37" s="54" t="n">
        <x:v>28979</x:v>
      </x:c>
      <x:c r="I37" s="54" t="n">
        <x:v>17387</x:v>
      </x:c>
      <x:c r="J37" s="54" t="n">
        <x:v>72</x:v>
      </x:c>
      <x:c r="K37" s="53" t="n">
        <x:v>8.474327</x:v>
      </x:c>
      <x:c r="L37" s="53" t="n">
        <x:v>39.9047</x:v>
      </x:c>
      <x:c r="M37" s="53" t="n">
        <x:v>-75.1736</x:v>
      </x:c>
      <x:c r="N37" s="54" t="n">
        <x:v>250</x:v>
      </x:c>
      <x:c r="O37" s="54" t="n">
        <x:v>1</x:v>
      </x:c>
    </x:row>
    <x:row r="38">
      <x:c r="A38" s="54" t="n">
        <x:v>34</x:v>
      </x:c>
      <x:c r="B38" s="54" t="n">
        <x:v>6</x:v>
      </x:c>
      <x:c r="C38" s="54" t="n">
        <x:v>11</x:v>
      </x:c>
      <x:c r="D38" s="54" t="n">
        <x:v>2</x:v>
      </x:c>
      <x:c r="E38" s="54" t="n">
        <x:v>70492</x:v>
      </x:c>
      <x:c r="F38" s="54" t="n">
        <x:v>67607</x:v>
      </x:c>
      <x:c r="G38" s="54" t="n">
        <x:v>33488</x:v>
      </x:c>
      <x:c r="H38" s="54" t="n">
        <x:v>14144</x:v>
      </x:c>
      <x:c r="I38" s="54" t="n">
        <x:v>7072</x:v>
      </x:c>
      <x:c r="J38" s="54" t="n">
        <x:v>124</x:v>
      </x:c>
      <x:c r="K38" s="53" t="n">
        <x:v>9.603284</x:v>
      </x:c>
      <x:c r="L38" s="53" t="n">
        <x:v>33.9509</x:v>
      </x:c>
      <x:c r="M38" s="53" t="n">
        <x:v>-118.3441</x:v>
      </x:c>
      <x:c r="N38" s="54" t="n">
        <x:v>350</x:v>
      </x:c>
      <x:c r="O38" s="54" t="n">
        <x:v>1</x:v>
      </x:c>
    </x:row>
    <x:row r="39">
      <x:c r="A39" s="54" t="n">
        <x:v>35</x:v>
      </x:c>
      <x:c r="B39" s="54" t="n">
        <x:v>11</x:v>
      </x:c>
      <x:c r="C39" s="54" t="n">
        <x:v>21</x:v>
      </x:c>
      <x:c r="D39" s="54" t="n">
        <x:v>0</x:v>
      </x:c>
      <x:c r="E39" s="54" t="n">
        <x:v>66925</x:v>
      </x:c>
      <x:c r="F39" s="54" t="n">
        <x:v>50733</x:v>
      </x:c>
      <x:c r="G39" s="54" t="n">
        <x:v>28443</x:v>
      </x:c>
      <x:c r="H39" s="54" t="n">
        <x:v>25785</x:v>
      </x:c>
      <x:c r="I39" s="54" t="n">
        <x:v>14182</x:v>
      </x:c>
      <x:c r="J39" s="54" t="n">
        <x:v>40</x:v>
      </x:c>
      <x:c r="K39" s="53" t="n">
        <x:v>8.408439</x:v>
      </x:c>
      <x:c r="L39" s="53" t="n">
        <x:v>47.5917</x:v>
      </x:c>
      <x:c r="M39" s="53" t="n">
        <x:v>-122.3272</x:v>
      </x:c>
      <x:c r="N39" s="54" t="n">
        <x:v>250</x:v>
      </x:c>
      <x:c r="O39" s="54" t="n">
        <x:v>0</x:v>
      </x:c>
    </x:row>
    <x:row r="40">
      <x:c r="A40" s="54" t="n">
        <x:v>36</x:v>
      </x:c>
      <x:c r="B40" s="54" t="n">
        <x:v>6</x:v>
      </x:c>
      <x:c r="C40" s="54" t="n">
        <x:v>11</x:v>
      </x:c>
      <x:c r="D40" s="54" t="n">
        <x:v>0</x:v>
      </x:c>
      <x:c r="E40" s="54" t="n">
        <x:v>70492</x:v>
      </x:c>
      <x:c r="F40" s="54" t="n">
        <x:v>59681</x:v>
      </x:c>
      <x:c r="G40" s="54" t="n">
        <x:v>21123</x:v>
      </x:c>
      <x:c r="H40" s="54" t="n">
        <x:v>10936</x:v>
      </x:c>
      <x:c r="I40" s="54" t="n">
        <x:v>5468</x:v>
      </x:c>
      <x:c r="J40" s="54" t="n">
        <x:v>127</x:v>
      </x:c>
      <x:c r="K40" s="53" t="n">
        <x:v>9.603284</x:v>
      </x:c>
      <x:c r="L40" s="53" t="n">
        <x:v>33.9509</x:v>
      </x:c>
      <x:c r="M40" s="53" t="n">
        <x:v>-118.3441</x:v>
      </x:c>
      <x:c r="N40" s="54" t="n">
        <x:v>350</x:v>
      </x:c>
      <x:c r="O40" s="54" t="n">
        <x:v>0</x:v>
      </x:c>
    </x:row>
    <x:row r="41">
      <x:c r="A41" s="54" t="n">
        <x:v>37</x:v>
      </x:c>
      <x:c r="B41" s="54" t="n">
        <x:v>3</x:v>
      </x:c>
      <x:c r="C41" s="54" t="n">
        <x:v>6</x:v>
      </x:c>
      <x:c r="D41" s="54" t="n">
        <x:v>0</x:v>
      </x:c>
      <x:c r="E41" s="54" t="n">
        <x:v>70649</x:v>
      </x:c>
      <x:c r="F41" s="54" t="n">
        <x:v>63025</x:v>
      </x:c>
      <x:c r="G41" s="54" t="n">
        <x:v>8517</x:v>
      </x:c>
      <x:c r="H41" s="54" t="n">
        <x:v>12436</x:v>
      </x:c>
      <x:c r="I41" s="54" t="n">
        <x:v>5596</x:v>
      </x:c>
      <x:c r="J41" s="54" t="n">
        <x:v>107</x:v>
      </x:c>
      <x:c r="K41" s="53" t="n">
        <x:v>10.033037</x:v>
      </x:c>
      <x:c r="L41" s="53" t="n">
        <x:v>32.7506</x:v>
      </x:c>
      <x:c r="M41" s="53" t="n">
        <x:v>-97.0915</x:v>
      </x:c>
      <x:c r="N41" s="54" t="n">
        <x:v>350</x:v>
      </x:c>
      <x:c r="O41" s="54" t="n">
        <x:v>0</x:v>
      </x:c>
    </x:row>
    <x:row r="42">
      <x:c r="A42" s="54" t="n">
        <x:v>38</x:v>
      </x:c>
      <x:c r="B42" s="54" t="n">
        <x:v>3</x:v>
      </x:c>
      <x:c r="C42" s="54" t="n">
        <x:v>6</x:v>
      </x:c>
      <x:c r="D42" s="54" t="n">
        <x:v>4</x:v>
      </x:c>
      <x:c r="E42" s="54" t="n">
        <x:v>70649</x:v>
      </x:c>
      <x:c r="F42" s="54" t="n">
        <x:v>61136</x:v>
      </x:c>
      <x:c r="G42" s="54" t="n">
        <x:v>12909</x:v>
      </x:c>
      <x:c r="H42" s="54" t="n">
        <x:v>16089</x:v>
      </x:c>
      <x:c r="I42" s="54" t="n">
        <x:v>7240</x:v>
      </x:c>
      <x:c r="J42" s="54" t="n">
        <x:v>112</x:v>
      </x:c>
      <x:c r="K42" s="53" t="n">
        <x:v>10.033037</x:v>
      </x:c>
      <x:c r="L42" s="53" t="n">
        <x:v>32.7506</x:v>
      </x:c>
      <x:c r="M42" s="53" t="n">
        <x:v>-97.0915</x:v>
      </x:c>
      <x:c r="N42" s="54" t="n">
        <x:v>350</x:v>
      </x:c>
      <x:c r="O42" s="54" t="n">
        <x:v>0</x:v>
      </x:c>
    </x:row>
    <x:row r="43">
      <x:c r="A43" s="54" t="n">
        <x:v>39</x:v>
      </x:c>
      <x:c r="B43" s="54" t="n">
        <x:v>3</x:v>
      </x:c>
      <x:c r="C43" s="54" t="n">
        <x:v>6</x:v>
      </x:c>
      <x:c r="D43" s="54" t="n">
        <x:v>1</x:v>
      </x:c>
      <x:c r="E43" s="54" t="n">
        <x:v>70649</x:v>
      </x:c>
      <x:c r="F43" s="54" t="n">
        <x:v>57825</x:v>
      </x:c>
      <x:c r="G43" s="54" t="n">
        <x:v>10400</x:v>
      </x:c>
      <x:c r="H43" s="54" t="n">
        <x:v>8397</x:v>
      </x:c>
      <x:c r="I43" s="54" t="n">
        <x:v>3779</x:v>
      </x:c>
      <x:c r="J43" s="54" t="n">
        <x:v>101</x:v>
      </x:c>
      <x:c r="K43" s="53" t="n">
        <x:v>10.033037</x:v>
      </x:c>
      <x:c r="L43" s="53" t="n">
        <x:v>32.7506</x:v>
      </x:c>
      <x:c r="M43" s="53" t="n">
        <x:v>-97.0915</x:v>
      </x:c>
      <x:c r="N43" s="54" t="n">
        <x:v>350</x:v>
      </x:c>
      <x:c r="O43" s="54" t="n">
        <x:v>0</x:v>
      </x:c>
    </x:row>
    <x:row r="44">
      <x:c r="A44" s="54" t="n">
        <x:v>40</x:v>
      </x:c>
      <x:c r="B44" s="54" t="n">
        <x:v>6</x:v>
      </x:c>
      <x:c r="C44" s="54" t="n">
        <x:v>11</x:v>
      </x:c>
      <x:c r="D44" s="54" t="n">
        <x:v>0</x:v>
      </x:c>
      <x:c r="E44" s="54" t="n">
        <x:v>70492</x:v>
      </x:c>
      <x:c r="F44" s="54" t="n">
        <x:v>60066</x:v>
      </x:c>
      <x:c r="G44" s="54" t="n">
        <x:v>17974</x:v>
      </x:c>
      <x:c r="H44" s="54" t="n">
        <x:v>10633</x:v>
      </x:c>
      <x:c r="I44" s="54" t="n">
        <x:v>5317</x:v>
      </x:c>
      <x:c r="J44" s="54" t="n">
        <x:v>96</x:v>
      </x:c>
      <x:c r="K44" s="53" t="n">
        <x:v>9.603284</x:v>
      </x:c>
      <x:c r="L44" s="53" t="n">
        <x:v>33.9509</x:v>
      </x:c>
      <x:c r="M44" s="53" t="n">
        <x:v>-118.3441</x:v>
      </x:c>
      <x:c r="N44" s="54" t="n">
        <x:v>350</x:v>
      </x:c>
      <x:c r="O44" s="54" t="n">
        <x:v>0</x:v>
      </x:c>
    </x:row>
    <x:row r="45">
      <x:c r="A45" s="54" t="n">
        <x:v>41</x:v>
      </x:c>
      <x:c r="B45" s="54" t="n">
        <x:v>10</x:v>
      </x:c>
      <x:c r="C45" s="54" t="n">
        <x:v>19</x:v>
      </x:c>
      <x:c r="D45" s="54" t="n">
        <x:v>0</x:v>
      </x:c>
      <x:c r="E45" s="54" t="n">
        <x:v>68827</x:v>
      </x:c>
      <x:c r="F45" s="54" t="n">
        <x:v>58514</x:v>
      </x:c>
      <x:c r="G45" s="54" t="n">
        <x:v>26550</x:v>
      </x:c>
      <x:c r="H45" s="54" t="n">
        <x:v>27549</x:v>
      </x:c>
      <x:c r="I45" s="54" t="n">
        <x:v>17907</x:v>
      </x:c>
      <x:c r="J45" s="54" t="n">
        <x:v>79</x:v>
      </x:c>
      <x:c r="K45" s="53" t="n">
        <x:v>8.807888</x:v>
      </x:c>
      <x:c r="L45" s="53" t="n">
        <x:v>37.403468</x:v>
      </x:c>
      <x:c r="M45" s="53" t="n">
        <x:v>-121.974908</x:v>
      </x:c>
      <x:c r="N45" s="54" t="n">
        <x:v>250</x:v>
      </x:c>
      <x:c r="O45" s="54" t="n">
        <x:v>1</x:v>
      </x:c>
    </x:row>
    <x:row r="46">
      <x:c r="A46" s="54" t="n">
        <x:v>42</x:v>
      </x:c>
      <x:c r="B46" s="54" t="n">
        <x:v>5</x:v>
      </x:c>
      <x:c r="C46" s="54" t="n">
        <x:v>10</x:v>
      </x:c>
      <x:c r="D46" s="54" t="n">
        <x:v>0</x:v>
      </x:c>
      <x:c r="E46" s="54" t="n">
        <x:v>69045</x:v>
      </x:c>
      <x:c r="F46" s="54" t="n">
        <x:v>56833</x:v>
      </x:c>
      <x:c r="G46" s="54" t="n">
        <x:v>4537</x:v>
      </x:c>
      <x:c r="H46" s="54" t="n">
        <x:v>7168</x:v>
      </x:c>
      <x:c r="I46" s="54" t="n">
        <x:v>3226</x:v>
      </x:c>
      <x:c r="J46" s="54" t="n">
        <x:v>125</x:v>
      </x:c>
      <x:c r="K46" s="53" t="n">
        <x:v>8.632123</x:v>
      </x:c>
      <x:c r="L46" s="53" t="n">
        <x:v>39.0491</x:v>
      </x:c>
      <x:c r="M46" s="53" t="n">
        <x:v>-94.4871</x:v>
      </x:c>
      <x:c r="N46" s="54" t="n">
        <x:v>400</x:v>
      </x:c>
      <x:c r="O46" s="54" t="n">
        <x:v>0</x:v>
      </x:c>
    </x:row>
    <x:row r="47">
      <x:c r="A47" s="54" t="n">
        <x:v>43</x:v>
      </x:c>
      <x:c r="B47" s="54" t="n">
        <x:v>10</x:v>
      </x:c>
      <x:c r="C47" s="54" t="n">
        <x:v>19</x:v>
      </x:c>
      <x:c r="D47" s="54" t="n">
        <x:v>2</x:v>
      </x:c>
      <x:c r="E47" s="54" t="n">
        <x:v>68827</x:v>
      </x:c>
      <x:c r="F47" s="54" t="n">
        <x:v>55901</x:v>
      </x:c>
      <x:c r="G47" s="54" t="n">
        <x:v>33603</x:v>
      </x:c>
      <x:c r="H47" s="54" t="n">
        <x:v>21750</x:v>
      </x:c>
      <x:c r="I47" s="54" t="n">
        <x:v>14138</x:v>
      </x:c>
      <x:c r="J47" s="54" t="n">
        <x:v>85</x:v>
      </x:c>
      <x:c r="K47" s="53" t="n">
        <x:v>8.807888</x:v>
      </x:c>
      <x:c r="L47" s="53" t="n">
        <x:v>37.403468</x:v>
      </x:c>
      <x:c r="M47" s="53" t="n">
        <x:v>-121.974908</x:v>
      </x:c>
      <x:c r="N47" s="54" t="n">
        <x:v>250</x:v>
      </x:c>
      <x:c r="O47" s="54" t="n">
        <x:v>0</x:v>
      </x:c>
    </x:row>
    <x:row r="48">
      <x:c r="A48" s="54" t="n">
        <x:v>44</x:v>
      </x:c>
      <x:c r="B48" s="54" t="n">
        <x:v>1</x:v>
      </x:c>
      <x:c r="C48" s="54" t="n">
        <x:v>1</x:v>
      </x:c>
      <x:c r="D48" s="54" t="n">
        <x:v>0</x:v>
      </x:c>
      <x:c r="E48" s="54" t="n">
        <x:v>68239</x:v>
      </x:c>
      <x:c r="F48" s="54" t="n">
        <x:v>55402</x:v>
      </x:c>
      <x:c r="G48" s="54" t="n">
        <x:v>28410</x:v>
      </x:c>
      <x:c r="H48" s="54" t="n">
        <x:v>16725</x:v>
      </x:c>
      <x:c r="I48" s="54" t="n">
        <x:v>9701</x:v>
      </x:c>
      <x:c r="J48" s="54" t="n">
        <x:v>62</x:v>
      </x:c>
      <x:c r="K48" s="53" t="n">
        <x:v>9.391018</x:v>
      </x:c>
      <x:c r="L48" s="53" t="n">
        <x:v>33.7565</x:v>
      </x:c>
      <x:c r="M48" s="53" t="n">
        <x:v>-84.4038</x:v>
      </x:c>
      <x:c r="N48" s="54" t="n">
        <x:v>250</x:v>
      </x:c>
      <x:c r="O48" s="54" t="n">
        <x:v>0</x:v>
      </x:c>
    </x:row>
    <x:row r="49">
      <x:c r="A49" s="54" t="n">
        <x:v>45</x:v>
      </x:c>
      <x:c r="B49" s="54" t="n">
        <x:v>3</x:v>
      </x:c>
      <x:c r="C49" s="54" t="n">
        <x:v>6</x:v>
      </x:c>
      <x:c r="D49" s="54" t="n">
        <x:v>1</x:v>
      </x:c>
      <x:c r="E49" s="54" t="n">
        <x:v>70649</x:v>
      </x:c>
      <x:c r="F49" s="54" t="n">
        <x:v>60975</x:v>
      </x:c>
      <x:c r="G49" s="54" t="n">
        <x:v>3820</x:v>
      </x:c>
      <x:c r="H49" s="54" t="n">
        <x:v>5145</x:v>
      </x:c>
      <x:c r="I49" s="54" t="n">
        <x:v>2315</x:v>
      </x:c>
      <x:c r="J49" s="54" t="n">
        <x:v>109</x:v>
      </x:c>
      <x:c r="K49" s="53" t="n">
        <x:v>10.033037</x:v>
      </x:c>
      <x:c r="L49" s="53" t="n">
        <x:v>32.7506</x:v>
      </x:c>
      <x:c r="M49" s="53" t="n">
        <x:v>-97.0915</x:v>
      </x:c>
      <x:c r="N49" s="54" t="n">
        <x:v>350</x:v>
      </x:c>
      <x:c r="O49" s="54" t="n">
        <x:v>0</x:v>
      </x:c>
    </x:row>
    <x:row r="50">
      <x:c r="A50" s="54" t="n">
        <x:v>46</x:v>
      </x:c>
      <x:c r="B50" s="54" t="n">
        <x:v>7</x:v>
      </x:c>
      <x:c r="C50" s="54" t="n">
        <x:v>14</x:v>
      </x:c>
      <x:c r="D50" s="54" t="n">
        <x:v>0</x:v>
      </x:c>
      <x:c r="E50" s="54" t="n">
        <x:v>64478</x:v>
      </x:c>
      <x:c r="F50" s="54" t="n">
        <x:v>61097</x:v>
      </x:c>
      <x:c r="G50" s="54" t="n">
        <x:v>15271</x:v>
      </x:c>
      <x:c r="H50" s="54" t="n">
        <x:v>8076</x:v>
      </x:c>
      <x:c r="I50" s="54" t="n">
        <x:v>3634</x:v>
      </x:c>
      <x:c r="J50" s="54" t="n">
        <x:v>127</x:v>
      </x:c>
      <x:c r="K50" s="53" t="n">
        <x:v>8.69743</x:v>
      </x:c>
      <x:c r="L50" s="53" t="n">
        <x:v>25.9549</x:v>
      </x:c>
      <x:c r="M50" s="53" t="n">
        <x:v>-80.2383</x:v>
      </x:c>
      <x:c r="N50" s="54" t="n">
        <x:v>350</x:v>
      </x:c>
      <x:c r="O50" s="54" t="n">
        <x:v>1</x:v>
      </x:c>
    </x:row>
    <x:row r="51">
      <x:c r="A51" s="54" t="n">
        <x:v>47</x:v>
      </x:c>
      <x:c r="B51" s="54" t="n">
        <x:v>11</x:v>
      </x:c>
      <x:c r="C51" s="54" t="n">
        <x:v>21</x:v>
      </x:c>
      <x:c r="D51" s="54" t="n">
        <x:v>5</x:v>
      </x:c>
      <x:c r="E51" s="54" t="n">
        <x:v>66925</x:v>
      </x:c>
      <x:c r="F51" s="54" t="n">
        <x:v>56617</x:v>
      </x:c>
      <x:c r="G51" s="54" t="n">
        <x:v>31660</x:v>
      </x:c>
      <x:c r="H51" s="54" t="n">
        <x:v>31479</x:v>
      </x:c>
      <x:c r="I51" s="54" t="n">
        <x:v>17313</x:v>
      </x:c>
      <x:c r="J51" s="54" t="n">
        <x:v>80</x:v>
      </x:c>
      <x:c r="K51" s="53" t="n">
        <x:v>8.408439</x:v>
      </x:c>
      <x:c r="L51" s="53" t="n">
        <x:v>47.5917</x:v>
      </x:c>
      <x:c r="M51" s="53" t="n">
        <x:v>-122.3272</x:v>
      </x:c>
      <x:c r="N51" s="54" t="n">
        <x:v>250</x:v>
      </x:c>
      <x:c r="O51" s="54" t="n">
        <x:v>1</x:v>
      </x:c>
    </x:row>
    <x:row r="52">
      <x:c r="A52" s="54" t="n">
        <x:v>48</x:v>
      </x:c>
      <x:c r="B52" s="54" t="n">
        <x:v>1</x:v>
      </x:c>
      <x:c r="C52" s="54" t="n">
        <x:v>1</x:v>
      </x:c>
      <x:c r="D52" s="54" t="n">
        <x:v>0</x:v>
      </x:c>
      <x:c r="E52" s="54" t="n">
        <x:v>68239</x:v>
      </x:c>
      <x:c r="F52" s="54" t="n">
        <x:v>58889</x:v>
      </x:c>
      <x:c r="G52" s="54" t="n">
        <x:v>34321</x:v>
      </x:c>
      <x:c r="H52" s="54" t="n">
        <x:v>24667</x:v>
      </x:c>
      <x:c r="I52" s="54" t="n">
        <x:v>14307</x:v>
      </x:c>
      <x:c r="J52" s="54" t="n">
        <x:v>61</x:v>
      </x:c>
      <x:c r="K52" s="53" t="n">
        <x:v>9.391018</x:v>
      </x:c>
      <x:c r="L52" s="53" t="n">
        <x:v>33.7565</x:v>
      </x:c>
      <x:c r="M52" s="53" t="n">
        <x:v>-84.4038</x:v>
      </x:c>
      <x:c r="N52" s="54" t="n">
        <x:v>250</x:v>
      </x:c>
      <x:c r="O52" s="54" t="n">
        <x:v>0</x:v>
      </x:c>
    </x:row>
    <x:row r="53">
      <x:c r="A53" s="54" t="n">
        <x:v>49</x:v>
      </x:c>
      <x:c r="B53" s="54" t="n">
        <x:v>4</x:v>
      </x:c>
      <x:c r="C53" s="54" t="n">
        <x:v>7</x:v>
      </x:c>
      <x:c r="D53" s="54" t="n">
        <x:v>0</x:v>
      </x:c>
      <x:c r="E53" s="54" t="n">
        <x:v>68777</x:v>
      </x:c>
      <x:c r="F53" s="54" t="n">
        <x:v>58639</x:v>
      </x:c>
      <x:c r="G53" s="54" t="n">
        <x:v>19452</x:v>
      </x:c>
      <x:c r="H53" s="54" t="n">
        <x:v>17798</x:v>
      </x:c>
      <x:c r="I53" s="54" t="n">
        <x:v>10679</x:v>
      </x:c>
      <x:c r="J53" s="54" t="n">
        <x:v>85</x:v>
      </x:c>
      <x:c r="K53" s="53" t="n">
        <x:v>9.092387</x:v>
      </x:c>
      <x:c r="L53" s="53" t="n">
        <x:v>29.6852</x:v>
      </x:c>
      <x:c r="M53" s="53" t="n">
        <x:v>-95.407</x:v>
      </x:c>
      <x:c r="N53" s="54" t="n">
        <x:v>250</x:v>
      </x:c>
      <x:c r="O53" s="54" t="n">
        <x:v>0</x:v>
      </x:c>
    </x:row>
    <x:row r="54">
      <x:c r="A54" s="54" t="n">
        <x:v>50</x:v>
      </x:c>
      <x:c r="B54" s="54" t="n">
        <x:v>8</x:v>
      </x:c>
      <x:c r="C54" s="54" t="n">
        <x:v>15</x:v>
      </x:c>
      <x:c r="D54" s="54" t="n">
        <x:v>2</x:v>
      </x:c>
      <x:c r="E54" s="54" t="n">
        <x:v>80663</x:v>
      </x:c>
      <x:c r="F54" s="54" t="n">
        <x:v>63204</x:v>
      </x:c>
      <x:c r="G54" s="54" t="n">
        <x:v>22732</x:v>
      </x:c>
      <x:c r="H54" s="54" t="n">
        <x:v>38598</x:v>
      </x:c>
      <x:c r="I54" s="54" t="n">
        <x:v>21229</x:v>
      </x:c>
      <x:c r="J54" s="54" t="n">
        <x:v>73</x:v>
      </x:c>
      <x:c r="K54" s="53" t="n">
        <x:v>10.438681</x:v>
      </x:c>
      <x:c r="L54" s="53" t="n">
        <x:v>40.807664</x:v>
      </x:c>
      <x:c r="M54" s="53" t="n">
        <x:v>-74.069833</x:v>
      </x:c>
      <x:c r="N54" s="54" t="n">
        <x:v>250</x:v>
      </x:c>
      <x:c r="O54" s="54" t="n">
        <x:v>0</x:v>
      </x:c>
    </x:row>
    <x:row r="55">
      <x:c r="A55" s="54" t="n">
        <x:v>51</x:v>
      </x:c>
      <x:c r="B55" s="54" t="n">
        <x:v>10</x:v>
      </x:c>
      <x:c r="C55" s="54" t="n">
        <x:v>19</x:v>
      </x:c>
      <x:c r="D55" s="54" t="n">
        <x:v>2</x:v>
      </x:c>
      <x:c r="E55" s="54" t="n">
        <x:v>68827</x:v>
      </x:c>
      <x:c r="F55" s="54" t="n">
        <x:v>60559</x:v>
      </x:c>
      <x:c r="G55" s="54" t="n">
        <x:v>31983</x:v>
      </x:c>
      <x:c r="H55" s="54" t="n">
        <x:v>18472</x:v>
      </x:c>
      <x:c r="I55" s="54" t="n">
        <x:v>12007</x:v>
      </x:c>
      <x:c r="J55" s="54" t="n">
        <x:v>90</x:v>
      </x:c>
      <x:c r="K55" s="53" t="n">
        <x:v>8.807888</x:v>
      </x:c>
      <x:c r="L55" s="53" t="n">
        <x:v>37.403468</x:v>
      </x:c>
      <x:c r="M55" s="53" t="n">
        <x:v>-121.974908</x:v>
      </x:c>
      <x:c r="N55" s="54" t="n">
        <x:v>250</x:v>
      </x:c>
      <x:c r="O55" s="54" t="n">
        <x:v>1</x:v>
      </x:c>
    </x:row>
    <x:row r="56">
      <x:c r="A56" s="54" t="n">
        <x:v>52</x:v>
      </x:c>
      <x:c r="B56" s="54" t="n">
        <x:v>10</x:v>
      </x:c>
      <x:c r="C56" s="54" t="n">
        <x:v>19</x:v>
      </x:c>
      <x:c r="D56" s="54" t="n">
        <x:v>0</x:v>
      </x:c>
      <x:c r="E56" s="54" t="n">
        <x:v>68827</x:v>
      </x:c>
      <x:c r="F56" s="54" t="n">
        <x:v>58899</x:v>
      </x:c>
      <x:c r="G56" s="54" t="n">
        <x:v>29778</x:v>
      </x:c>
      <x:c r="H56" s="54" t="n">
        <x:v>22558</x:v>
      </x:c>
      <x:c r="I56" s="54" t="n">
        <x:v>14663</x:v>
      </x:c>
      <x:c r="J56" s="54" t="n">
        <x:v>90</x:v>
      </x:c>
      <x:c r="K56" s="53" t="n">
        <x:v>8.807888</x:v>
      </x:c>
      <x:c r="L56" s="53" t="n">
        <x:v>37.403468</x:v>
      </x:c>
      <x:c r="M56" s="53" t="n">
        <x:v>-121.974908</x:v>
      </x:c>
      <x:c r="N56" s="54" t="n">
        <x:v>250</x:v>
      </x:c>
      <x:c r="O56" s="54" t="n">
        <x:v>1</x:v>
      </x:c>
    </x:row>
    <x:row r="57">
      <x:c r="A57" s="54" t="n">
        <x:v>53</x:v>
      </x:c>
      <x:c r="B57" s="54" t="n">
        <x:v>5</x:v>
      </x:c>
      <x:c r="C57" s="54" t="n">
        <x:v>10</x:v>
      </x:c>
      <x:c r="D57" s="54" t="n">
        <x:v>2</x:v>
      </x:c>
      <x:c r="E57" s="54" t="n">
        <x:v>69045</x:v>
      </x:c>
      <x:c r="F57" s="54" t="n">
        <x:v>61808</x:v>
      </x:c>
      <x:c r="G57" s="54" t="n">
        <x:v>10606</x:v>
      </x:c>
      <x:c r="H57" s="54" t="n">
        <x:v>4945</x:v>
      </x:c>
      <x:c r="I57" s="54" t="n">
        <x:v>2225</x:v>
      </x:c>
      <x:c r="J57" s="54" t="n">
        <x:v>150</x:v>
      </x:c>
      <x:c r="K57" s="53" t="n">
        <x:v>8.632123</x:v>
      </x:c>
      <x:c r="L57" s="53" t="n">
        <x:v>39.0491</x:v>
      </x:c>
      <x:c r="M57" s="53" t="n">
        <x:v>-94.4871</x:v>
      </x:c>
      <x:c r="N57" s="54" t="n">
        <x:v>400</x:v>
      </x:c>
      <x:c r="O57" s="54" t="n">
        <x:v>0</x:v>
      </x:c>
    </x:row>
    <x:row r="58">
      <x:c r="A58" s="54" t="n">
        <x:v>54</x:v>
      </x:c>
      <x:c r="B58" s="54" t="n">
        <x:v>3</x:v>
      </x:c>
      <x:c r="C58" s="54" t="n">
        <x:v>6</x:v>
      </x:c>
      <x:c r="D58" s="54" t="n">
        <x:v>1</x:v>
      </x:c>
      <x:c r="E58" s="54" t="n">
        <x:v>70649</x:v>
      </x:c>
      <x:c r="F58" s="54" t="n">
        <x:v>60220</x:v>
      </x:c>
      <x:c r="G58" s="54" t="n">
        <x:v>10744</x:v>
      </x:c>
      <x:c r="H58" s="54" t="n">
        <x:v>11773</x:v>
      </x:c>
      <x:c r="I58" s="54" t="n">
        <x:v>5298</x:v>
      </x:c>
      <x:c r="J58" s="54" t="n">
        <x:v>101</x:v>
      </x:c>
      <x:c r="K58" s="53" t="n">
        <x:v>10.033037</x:v>
      </x:c>
      <x:c r="L58" s="53" t="n">
        <x:v>32.7506</x:v>
      </x:c>
      <x:c r="M58" s="53" t="n">
        <x:v>-97.0915</x:v>
      </x:c>
      <x:c r="N58" s="54" t="n">
        <x:v>350</x:v>
      </x:c>
      <x:c r="O58" s="54" t="n">
        <x:v>0</x:v>
      </x:c>
    </x:row>
    <x:row r="59">
      <x:c r="A59" s="54" t="n">
        <x:v>55</x:v>
      </x:c>
      <x:c r="B59" s="54" t="n">
        <x:v>1</x:v>
      </x:c>
      <x:c r="C59" s="54" t="n">
        <x:v>1</x:v>
      </x:c>
      <x:c r="D59" s="54" t="n">
        <x:v>0</x:v>
      </x:c>
      <x:c r="E59" s="54" t="n">
        <x:v>68239</x:v>
      </x:c>
      <x:c r="F59" s="54" t="n">
        <x:v>64189</x:v>
      </x:c>
      <x:c r="G59" s="54" t="n">
        <x:v>27924</x:v>
      </x:c>
      <x:c r="H59" s="54" t="n">
        <x:v>19134</x:v>
      </x:c>
      <x:c r="I59" s="54" t="n">
        <x:v>11098</x:v>
      </x:c>
      <x:c r="J59" s="54" t="n">
        <x:v>42</x:v>
      </x:c>
      <x:c r="K59" s="53" t="n">
        <x:v>9.391018</x:v>
      </x:c>
      <x:c r="L59" s="53" t="n">
        <x:v>33.7565</x:v>
      </x:c>
      <x:c r="M59" s="53" t="n">
        <x:v>-84.4038</x:v>
      </x:c>
      <x:c r="N59" s="54" t="n">
        <x:v>250</x:v>
      </x:c>
      <x:c r="O59" s="54" t="n">
        <x:v>0</x:v>
      </x:c>
    </x:row>
    <x:row r="60">
      <x:c r="A60" s="54" t="n">
        <x:v>56</x:v>
      </x:c>
      <x:c r="B60" s="54" t="n">
        <x:v>4</x:v>
      </x:c>
      <x:c r="C60" s="54" t="n">
        <x:v>7</x:v>
      </x:c>
      <x:c r="D60" s="54" t="n">
        <x:v>0</x:v>
      </x:c>
      <x:c r="E60" s="54" t="n">
        <x:v>68777</x:v>
      </x:c>
      <x:c r="F60" s="54" t="n">
        <x:v>68639</x:v>
      </x:c>
      <x:c r="G60" s="54" t="n">
        <x:v>19577</x:v>
      </x:c>
      <x:c r="H60" s="54" t="n">
        <x:v>26708</x:v>
      </x:c>
      <x:c r="I60" s="54" t="n">
        <x:v>16025</x:v>
      </x:c>
      <x:c r="J60" s="54" t="n">
        <x:v>78</x:v>
      </x:c>
      <x:c r="K60" s="53" t="n">
        <x:v>9.092387</x:v>
      </x:c>
      <x:c r="L60" s="53" t="n">
        <x:v>29.6852</x:v>
      </x:c>
      <x:c r="M60" s="53" t="n">
        <x:v>-95.407</x:v>
      </x:c>
      <x:c r="N60" s="54" t="n">
        <x:v>250</x:v>
      </x:c>
      <x:c r="O60" s="54" t="n">
        <x:v>0</x:v>
      </x:c>
    </x:row>
    <x:row r="61">
      <x:c r="A61" s="54" t="n">
        <x:v>57</x:v>
      </x:c>
      <x:c r="B61" s="54" t="n">
        <x:v>11</x:v>
      </x:c>
      <x:c r="C61" s="54" t="n">
        <x:v>21</x:v>
      </x:c>
      <x:c r="D61" s="54" t="n">
        <x:v>1</x:v>
      </x:c>
      <x:c r="E61" s="54" t="n">
        <x:v>66925</x:v>
      </x:c>
      <x:c r="F61" s="54" t="n">
        <x:v>52643</x:v>
      </x:c>
      <x:c r="G61" s="54" t="n">
        <x:v>27900</x:v>
      </x:c>
      <x:c r="H61" s="54" t="n">
        <x:v>25125</x:v>
      </x:c>
      <x:c r="I61" s="54" t="n">
        <x:v>13819</x:v>
      </x:c>
      <x:c r="J61" s="54" t="n">
        <x:v>68</x:v>
      </x:c>
      <x:c r="K61" s="53" t="n">
        <x:v>8.408439</x:v>
      </x:c>
      <x:c r="L61" s="53" t="n">
        <x:v>47.5917</x:v>
      </x:c>
      <x:c r="M61" s="53" t="n">
        <x:v>-122.3272</x:v>
      </x:c>
      <x:c r="N61" s="54" t="n">
        <x:v>250</x:v>
      </x:c>
      <x:c r="O61" s="54" t="n">
        <x:v>0</x:v>
      </x:c>
    </x:row>
    <x:row r="62">
      <x:c r="A62" s="54" t="n">
        <x:v>58</x:v>
      </x:c>
      <x:c r="B62" s="54" t="n">
        <x:v>11</x:v>
      </x:c>
      <x:c r="C62" s="54" t="n">
        <x:v>21</x:v>
      </x:c>
      <x:c r="D62" s="54" t="n">
        <x:v>1</x:v>
      </x:c>
      <x:c r="E62" s="54" t="n">
        <x:v>66925</x:v>
      </x:c>
      <x:c r="F62" s="54" t="n">
        <x:v>54351</x:v>
      </x:c>
      <x:c r="G62" s="54" t="n">
        <x:v>33926</x:v>
      </x:c>
      <x:c r="H62" s="54" t="n">
        <x:v>30310</x:v>
      </x:c>
      <x:c r="I62" s="54" t="n">
        <x:v>16671</x:v>
      </x:c>
      <x:c r="J62" s="54" t="n">
        <x:v>81</x:v>
      </x:c>
      <x:c r="K62" s="53" t="n">
        <x:v>8.408439</x:v>
      </x:c>
      <x:c r="L62" s="53" t="n">
        <x:v>47.5917</x:v>
      </x:c>
      <x:c r="M62" s="53" t="n">
        <x:v>-122.3272</x:v>
      </x:c>
      <x:c r="N62" s="54" t="n">
        <x:v>250</x:v>
      </x:c>
      <x:c r="O62" s="54" t="n">
        <x:v>1</x:v>
      </x:c>
    </x:row>
    <x:row r="63">
      <x:c r="A63" s="54" t="n">
        <x:v>59</x:v>
      </x:c>
      <x:c r="B63" s="54" t="n">
        <x:v>2</x:v>
      </x:c>
      <x:c r="C63" s="54" t="n">
        <x:v>4</x:v>
      </x:c>
      <x:c r="D63" s="54" t="n">
        <x:v>2</x:v>
      </x:c>
      <x:c r="E63" s="54" t="n">
        <x:v>64146</x:v>
      </x:c>
      <x:c r="F63" s="54" t="n">
        <x:v>61779</x:v>
      </x:c>
      <x:c r="G63" s="54" t="n">
        <x:v>11128</x:v>
      </x:c>
      <x:c r="H63" s="54" t="n">
        <x:v>10850</x:v>
      </x:c>
      <x:c r="I63" s="54" t="n">
        <x:v>3797</x:v>
      </x:c>
      <x:c r="J63" s="54" t="n">
        <x:v>116</x:v>
      </x:c>
      <x:c r="K63" s="53" t="n">
        <x:v>8.671598</x:v>
      </x:c>
      <x:c r="L63" s="53" t="n">
        <x:v>42.0916</x:v>
      </x:c>
      <x:c r="M63" s="53" t="n">
        <x:v>-71.2648</x:v>
      </x:c>
      <x:c r="N63" s="54" t="n">
        <x:v>300</x:v>
      </x:c>
      <x:c r="O63" s="54" t="n">
        <x:v>1</x:v>
      </x:c>
    </x:row>
    <x:row r="64">
      <x:c r="A64" s="54" t="n">
        <x:v>60</x:v>
      </x:c>
      <x:c r="B64" s="54" t="n">
        <x:v>9</x:v>
      </x:c>
      <x:c r="C64" s="54" t="n">
        <x:v>17</x:v>
      </x:c>
      <x:c r="D64" s="54" t="n">
        <x:v>1</x:v>
      </x:c>
      <x:c r="E64" s="54" t="n">
        <x:v>68324</x:v>
      </x:c>
      <x:c r="F64" s="54" t="n">
        <x:v>59496</x:v>
      </x:c>
      <x:c r="G64" s="54" t="n">
        <x:v>27068</x:v>
      </x:c>
      <x:c r="H64" s="54" t="n">
        <x:v>38616</x:v>
      </x:c>
      <x:c r="I64" s="54" t="n">
        <x:v>23170</x:v>
      </x:c>
      <x:c r="J64" s="54" t="n">
        <x:v>90</x:v>
      </x:c>
      <x:c r="K64" s="53" t="n">
        <x:v>8.474327</x:v>
      </x:c>
      <x:c r="L64" s="53" t="n">
        <x:v>39.9047</x:v>
      </x:c>
      <x:c r="M64" s="53" t="n">
        <x:v>-75.1736</x:v>
      </x:c>
      <x:c r="N64" s="54" t="n">
        <x:v>250</x:v>
      </x:c>
      <x:c r="O64" s="54" t="n">
        <x:v>1</x:v>
      </x:c>
    </x:row>
    <x:row r="65">
      <x:c r="A65" s="54" t="n">
        <x:v>61</x:v>
      </x:c>
      <x:c r="B65" s="54" t="n">
        <x:v>6</x:v>
      </x:c>
      <x:c r="C65" s="54" t="n">
        <x:v>11</x:v>
      </x:c>
      <x:c r="D65" s="54" t="n">
        <x:v>0</x:v>
      </x:c>
      <x:c r="E65" s="54" t="n">
        <x:v>70492</x:v>
      </x:c>
      <x:c r="F65" s="54" t="n">
        <x:v>64469</x:v>
      </x:c>
      <x:c r="G65" s="54" t="n">
        <x:v>23875</x:v>
      </x:c>
      <x:c r="H65" s="54" t="n">
        <x:v>13567</x:v>
      </x:c>
      <x:c r="I65" s="54" t="n">
        <x:v>6784</x:v>
      </x:c>
      <x:c r="J65" s="54" t="n">
        <x:v>101</x:v>
      </x:c>
      <x:c r="K65" s="53" t="n">
        <x:v>9.603284</x:v>
      </x:c>
      <x:c r="L65" s="53" t="n">
        <x:v>33.9509</x:v>
      </x:c>
      <x:c r="M65" s="53" t="n">
        <x:v>-118.3441</x:v>
      </x:c>
      <x:c r="N65" s="54" t="n">
        <x:v>350</x:v>
      </x:c>
      <x:c r="O65" s="54" t="n">
        <x:v>0</x:v>
      </x:c>
    </x:row>
    <x:row r="66">
      <x:c r="A66" s="54" t="n">
        <x:v>62</x:v>
      </x:c>
      <x:c r="B66" s="54" t="n">
        <x:v>11</x:v>
      </x:c>
      <x:c r="C66" s="54" t="n">
        <x:v>21</x:v>
      </x:c>
      <x:c r="D66" s="54" t="n">
        <x:v>0</x:v>
      </x:c>
      <x:c r="E66" s="54" t="n">
        <x:v>66925</x:v>
      </x:c>
      <x:c r="F66" s="54" t="n">
        <x:v>61416</x:v>
      </x:c>
      <x:c r="G66" s="54" t="n">
        <x:v>30243</x:v>
      </x:c>
      <x:c r="H66" s="54" t="n">
        <x:v>30155</x:v>
      </x:c>
      <x:c r="I66" s="54" t="n">
        <x:v>16585</x:v>
      </x:c>
      <x:c r="J66" s="54" t="n">
        <x:v>74</x:v>
      </x:c>
      <x:c r="K66" s="53" t="n">
        <x:v>8.408439</x:v>
      </x:c>
      <x:c r="L66" s="53" t="n">
        <x:v>47.5917</x:v>
      </x:c>
      <x:c r="M66" s="53" t="n">
        <x:v>-122.3272</x:v>
      </x:c>
      <x:c r="N66" s="54" t="n">
        <x:v>250</x:v>
      </x:c>
      <x:c r="O66" s="54" t="n">
        <x:v>1</x:v>
      </x:c>
    </x:row>
    <x:row r="67">
      <x:c r="A67" s="54" t="n">
        <x:v>63</x:v>
      </x:c>
      <x:c r="B67" s="54" t="n">
        <x:v>3</x:v>
      </x:c>
      <x:c r="C67" s="54" t="n">
        <x:v>6</x:v>
      </x:c>
      <x:c r="D67" s="54" t="n">
        <x:v>1</x:v>
      </x:c>
      <x:c r="E67" s="54" t="n">
        <x:v>70649</x:v>
      </x:c>
      <x:c r="F67" s="54" t="n">
        <x:v>52281</x:v>
      </x:c>
      <x:c r="G67" s="54" t="n">
        <x:v>5521</x:v>
      </x:c>
      <x:c r="H67" s="54" t="n">
        <x:v>9193</x:v>
      </x:c>
      <x:c r="I67" s="54" t="n">
        <x:v>4137</x:v>
      </x:c>
      <x:c r="J67" s="54" t="n">
        <x:v>114</x:v>
      </x:c>
      <x:c r="K67" s="53" t="n">
        <x:v>10.033037</x:v>
      </x:c>
      <x:c r="L67" s="53" t="n">
        <x:v>32.7506</x:v>
      </x:c>
      <x:c r="M67" s="53" t="n">
        <x:v>-97.0915</x:v>
      </x:c>
      <x:c r="N67" s="54" t="n">
        <x:v>350</x:v>
      </x:c>
      <x:c r="O67" s="54" t="n">
        <x:v>0</x:v>
      </x:c>
    </x:row>
    <x:row r="68">
      <x:c r="A68" s="54" t="n">
        <x:v>64</x:v>
      </x:c>
      <x:c r="B68" s="54" t="n">
        <x:v>8</x:v>
      </x:c>
      <x:c r="C68" s="54" t="n">
        <x:v>15</x:v>
      </x:c>
      <x:c r="D68" s="54" t="n">
        <x:v>3</x:v>
      </x:c>
      <x:c r="E68" s="54" t="n">
        <x:v>80663</x:v>
      </x:c>
      <x:c r="F68" s="54" t="n">
        <x:v>69851</x:v>
      </x:c>
      <x:c r="G68" s="54" t="n">
        <x:v>20847</x:v>
      </x:c>
      <x:c r="H68" s="54" t="n">
        <x:v>40709</x:v>
      </x:c>
      <x:c r="I68" s="54" t="n">
        <x:v>22390</x:v>
      </x:c>
      <x:c r="J68" s="54" t="n">
        <x:v>76</x:v>
      </x:c>
      <x:c r="K68" s="53" t="n">
        <x:v>10.438681</x:v>
      </x:c>
      <x:c r="L68" s="53" t="n">
        <x:v>40.807664</x:v>
      </x:c>
      <x:c r="M68" s="53" t="n">
        <x:v>-74.069833</x:v>
      </x:c>
      <x:c r="N68" s="54" t="n">
        <x:v>250</x:v>
      </x:c>
      <x:c r="O68" s="54" t="n">
        <x:v>1</x:v>
      </x:c>
    </x:row>
    <x:row r="69">
      <x:c r="A69" s="54" t="n">
        <x:v>65</x:v>
      </x:c>
      <x:c r="B69" s="54" t="n">
        <x:v>5</x:v>
      </x:c>
      <x:c r="C69" s="54" t="n">
        <x:v>10</x:v>
      </x:c>
      <x:c r="D69" s="54" t="n">
        <x:v>4</x:v>
      </x:c>
      <x:c r="E69" s="54" t="n">
        <x:v>69045</x:v>
      </x:c>
      <x:c r="F69" s="54" t="n">
        <x:v>59704</x:v>
      </x:c>
      <x:c r="G69" s="54" t="n">
        <x:v>3080</x:v>
      </x:c>
      <x:c r="H69" s="54" t="n">
        <x:v>10752</x:v>
      </x:c>
      <x:c r="I69" s="54" t="n">
        <x:v>4838</x:v>
      </x:c>
      <x:c r="J69" s="54" t="n">
        <x:v>136</x:v>
      </x:c>
      <x:c r="K69" s="53" t="n">
        <x:v>8.632123</x:v>
      </x:c>
      <x:c r="L69" s="53" t="n">
        <x:v>39.0491</x:v>
      </x:c>
      <x:c r="M69" s="53" t="n">
        <x:v>-94.4871</x:v>
      </x:c>
      <x:c r="N69" s="54" t="n">
        <x:v>400</x:v>
      </x:c>
      <x:c r="O69" s="54" t="n">
        <x:v>0</x:v>
      </x:c>
    </x:row>
    <x:row r="70">
      <x:c r="A70" s="54" t="n">
        <x:v>66</x:v>
      </x:c>
      <x:c r="B70" s="54" t="n">
        <x:v>11</x:v>
      </x:c>
      <x:c r="C70" s="54" t="n">
        <x:v>21</x:v>
      </x:c>
      <x:c r="D70" s="54" t="n">
        <x:v>0</x:v>
      </x:c>
      <x:c r="E70" s="54" t="n">
        <x:v>66925</x:v>
      </x:c>
      <x:c r="F70" s="54" t="n">
        <x:v>66791</x:v>
      </x:c>
      <x:c r="G70" s="54" t="n">
        <x:v>32359</x:v>
      </x:c>
      <x:c r="H70" s="54" t="n">
        <x:v>32717</x:v>
      </x:c>
      <x:c r="I70" s="54" t="n">
        <x:v>17994</x:v>
      </x:c>
      <x:c r="J70" s="54" t="n">
        <x:v>76</x:v>
      </x:c>
      <x:c r="K70" s="53" t="n">
        <x:v>8.408439</x:v>
      </x:c>
      <x:c r="L70" s="53" t="n">
        <x:v>47.5917</x:v>
      </x:c>
      <x:c r="M70" s="53" t="n">
        <x:v>-122.3272</x:v>
      </x:c>
      <x:c r="N70" s="54" t="n">
        <x:v>250</x:v>
      </x:c>
      <x:c r="O70" s="54" t="n">
        <x:v>1</x:v>
      </x:c>
    </x:row>
    <x:row r="71">
      <x:c r="A71" s="54" t="n">
        <x:v>67</x:v>
      </x:c>
      <x:c r="B71" s="54" t="n">
        <x:v>5</x:v>
      </x:c>
      <x:c r="C71" s="54" t="n">
        <x:v>10</x:v>
      </x:c>
      <x:c r="D71" s="54" t="n">
        <x:v>1</x:v>
      </x:c>
      <x:c r="E71" s="54" t="n">
        <x:v>69045</x:v>
      </x:c>
      <x:c r="F71" s="54" t="n">
        <x:v>58262</x:v>
      </x:c>
      <x:c r="G71" s="54" t="n">
        <x:v>2913</x:v>
      </x:c>
      <x:c r="H71" s="54" t="n">
        <x:v>12754</x:v>
      </x:c>
      <x:c r="I71" s="54" t="n">
        <x:v>5739</x:v>
      </x:c>
      <x:c r="J71" s="54" t="n">
        <x:v>112</x:v>
      </x:c>
      <x:c r="K71" s="53" t="n">
        <x:v>8.632123</x:v>
      </x:c>
      <x:c r="L71" s="53" t="n">
        <x:v>39.0491</x:v>
      </x:c>
      <x:c r="M71" s="53" t="n">
        <x:v>-94.4871</x:v>
      </x:c>
      <x:c r="N71" s="54" t="n">
        <x:v>400</x:v>
      </x:c>
      <x:c r="O71" s="54" t="n">
        <x:v>0</x:v>
      </x:c>
    </x:row>
    <x:row r="72">
      <x:c r="A72" s="54" t="n">
        <x:v>68</x:v>
      </x:c>
      <x:c r="B72" s="54" t="n">
        <x:v>7</x:v>
      </x:c>
      <x:c r="C72" s="54" t="n">
        <x:v>14</x:v>
      </x:c>
      <x:c r="D72" s="54" t="n">
        <x:v>0</x:v>
      </x:c>
      <x:c r="E72" s="54" t="n">
        <x:v>64478</x:v>
      </x:c>
      <x:c r="F72" s="54" t="n">
        <x:v>57898</x:v>
      </x:c>
      <x:c r="G72" s="54" t="n">
        <x:v>9999</x:v>
      </x:c>
      <x:c r="H72" s="54" t="n">
        <x:v>8874</x:v>
      </x:c>
      <x:c r="I72" s="54" t="n">
        <x:v>3993</x:v>
      </x:c>
      <x:c r="J72" s="54" t="n">
        <x:v>125</x:v>
      </x:c>
      <x:c r="K72" s="53" t="n">
        <x:v>8.69743</x:v>
      </x:c>
      <x:c r="L72" s="53" t="n">
        <x:v>25.9549</x:v>
      </x:c>
      <x:c r="M72" s="53" t="n">
        <x:v>-80.2383</x:v>
      </x:c>
      <x:c r="N72" s="54" t="n">
        <x:v>350</x:v>
      </x:c>
      <x:c r="O72" s="54" t="n">
        <x:v>0</x:v>
      </x:c>
    </x:row>
    <x:row r="73">
      <x:c r="A73" s="54" t="n">
        <x:v>69</x:v>
      </x:c>
      <x:c r="B73" s="54" t="n">
        <x:v>7</x:v>
      </x:c>
      <x:c r="C73" s="54" t="n">
        <x:v>14</x:v>
      </x:c>
      <x:c r="D73" s="54" t="n">
        <x:v>0</x:v>
      </x:c>
      <x:c r="E73" s="54" t="n">
        <x:v>64478</x:v>
      </x:c>
      <x:c r="F73" s="54" t="n">
        <x:v>47691</x:v>
      </x:c>
      <x:c r="G73" s="54" t="n">
        <x:v>7646</x:v>
      </x:c>
      <x:c r="H73" s="54" t="n">
        <x:v>10949</x:v>
      </x:c>
      <x:c r="I73" s="54" t="n">
        <x:v>4927</x:v>
      </x:c>
      <x:c r="J73" s="54" t="n">
        <x:v>107</x:v>
      </x:c>
      <x:c r="K73" s="53" t="n">
        <x:v>8.69743</x:v>
      </x:c>
      <x:c r="L73" s="53" t="n">
        <x:v>25.9549</x:v>
      </x:c>
      <x:c r="M73" s="53" t="n">
        <x:v>-80.2383</x:v>
      </x:c>
      <x:c r="N73" s="54" t="n">
        <x:v>350</x:v>
      </x:c>
      <x:c r="O73" s="54" t="n">
        <x:v>0</x:v>
      </x:c>
    </x:row>
    <x:row r="74">
      <x:c r="A74" s="54" t="n">
        <x:v>70</x:v>
      </x:c>
      <x:c r="B74" s="54" t="n">
        <x:v>11</x:v>
      </x:c>
      <x:c r="C74" s="54" t="n">
        <x:v>21</x:v>
      </x:c>
      <x:c r="D74" s="54" t="n">
        <x:v>0</x:v>
      </x:c>
      <x:c r="E74" s="54" t="n">
        <x:v>66925</x:v>
      </x:c>
      <x:c r="F74" s="54" t="n">
        <x:v>64999</x:v>
      </x:c>
      <x:c r="G74" s="54" t="n">
        <x:v>33698</x:v>
      </x:c>
      <x:c r="H74" s="54" t="n">
        <x:v>36695</x:v>
      </x:c>
      <x:c r="I74" s="54" t="n">
        <x:v>20182</x:v>
      </x:c>
      <x:c r="J74" s="54" t="n">
        <x:v>60</x:v>
      </x:c>
      <x:c r="K74" s="53" t="n">
        <x:v>8.408439</x:v>
      </x:c>
      <x:c r="L74" s="53" t="n">
        <x:v>47.5917</x:v>
      </x:c>
      <x:c r="M74" s="53" t="n">
        <x:v>-122.3272</x:v>
      </x:c>
      <x:c r="N74" s="54" t="n">
        <x:v>250</x:v>
      </x:c>
      <x:c r="O74" s="54" t="n">
        <x:v>1</x:v>
      </x:c>
    </x:row>
    <x:row r="75">
      <x:c r="A75" s="54" t="n">
        <x:v>71</x:v>
      </x:c>
      <x:c r="B75" s="54" t="n">
        <x:v>1</x:v>
      </x:c>
      <x:c r="C75" s="54" t="n">
        <x:v>1</x:v>
      </x:c>
      <x:c r="D75" s="54" t="n">
        <x:v>1</x:v>
      </x:c>
      <x:c r="E75" s="54" t="n">
        <x:v>68239</x:v>
      </x:c>
      <x:c r="F75" s="54" t="n">
        <x:v>55865</x:v>
      </x:c>
      <x:c r="G75" s="54" t="n">
        <x:v>26628</x:v>
      </x:c>
      <x:c r="H75" s="54" t="n">
        <x:v>27348</x:v>
      </x:c>
      <x:c r="I75" s="54" t="n">
        <x:v>15862</x:v>
      </x:c>
      <x:c r="J75" s="54" t="n">
        <x:v>60</x:v>
      </x:c>
      <x:c r="K75" s="53" t="n">
        <x:v>9.391018</x:v>
      </x:c>
      <x:c r="L75" s="53" t="n">
        <x:v>33.7565</x:v>
      </x:c>
      <x:c r="M75" s="53" t="n">
        <x:v>-84.4038</x:v>
      </x:c>
      <x:c r="N75" s="54" t="n">
        <x:v>250</x:v>
      </x:c>
      <x:c r="O75" s="54" t="n">
        <x:v>0</x:v>
      </x:c>
    </x:row>
    <x:row r="76">
      <x:c r="A76" s="54" t="n">
        <x:v>72</x:v>
      </x:c>
      <x:c r="B76" s="54" t="n">
        <x:v>4</x:v>
      </x:c>
      <x:c r="C76" s="54" t="n">
        <x:v>7</x:v>
      </x:c>
      <x:c r="D76" s="54" t="n">
        <x:v>0</x:v>
      </x:c>
      <x:c r="E76" s="54" t="n">
        <x:v>68777</x:v>
      </x:c>
      <x:c r="F76" s="54" t="n">
        <x:v>48624</x:v>
      </x:c>
      <x:c r="G76" s="54" t="n">
        <x:v>18869</x:v>
      </x:c>
      <x:c r="H76" s="54" t="n">
        <x:v>13961</x:v>
      </x:c>
      <x:c r="I76" s="54" t="n">
        <x:v>8377</x:v>
      </x:c>
      <x:c r="J76" s="54" t="n">
        <x:v>65</x:v>
      </x:c>
      <x:c r="K76" s="53" t="n">
        <x:v>9.092387</x:v>
      </x:c>
      <x:c r="L76" s="53" t="n">
        <x:v>29.6852</x:v>
      </x:c>
      <x:c r="M76" s="53" t="n">
        <x:v>-95.407</x:v>
      </x:c>
      <x:c r="N76" s="54" t="n">
        <x:v>250</x:v>
      </x:c>
      <x:c r="O76" s="54" t="n">
        <x:v>0</x:v>
      </x:c>
    </x:row>
    <x:row r="77">
      <x:c r="A77" s="54" t="n">
        <x:v>73</x:v>
      </x:c>
      <x:c r="B77" s="54" t="n">
        <x:v>4</x:v>
      </x:c>
      <x:c r="C77" s="54" t="n">
        <x:v>7</x:v>
      </x:c>
      <x:c r="D77" s="54" t="n">
        <x:v>0</x:v>
      </x:c>
      <x:c r="E77" s="54" t="n">
        <x:v>68777</x:v>
      </x:c>
      <x:c r="F77" s="54" t="n">
        <x:v>61400</x:v>
      </x:c>
      <x:c r="G77" s="54" t="n">
        <x:v>24020</x:v>
      </x:c>
      <x:c r="H77" s="54" t="n">
        <x:v>19070</x:v>
      </x:c>
      <x:c r="I77" s="54" t="n">
        <x:v>11442</x:v>
      </x:c>
      <x:c r="J77" s="54" t="n">
        <x:v>80</x:v>
      </x:c>
      <x:c r="K77" s="53" t="n">
        <x:v>9.092387</x:v>
      </x:c>
      <x:c r="L77" s="53" t="n">
        <x:v>29.6852</x:v>
      </x:c>
      <x:c r="M77" s="53" t="n">
        <x:v>-95.407</x:v>
      </x:c>
      <x:c r="N77" s="54" t="n">
        <x:v>250</x:v>
      </x:c>
      <x:c r="O77" s="54" t="n">
        <x:v>0</x:v>
      </x:c>
    </x:row>
    <x:row r="78">
      <x:c r="A78" s="54" t="n">
        <x:v>74</x:v>
      </x:c>
      <x:c r="B78" s="54" t="n">
        <x:v>8</x:v>
      </x:c>
      <x:c r="C78" s="54" t="n">
        <x:v>15</x:v>
      </x:c>
      <x:c r="D78" s="54" t="n">
        <x:v>0</x:v>
      </x:c>
      <x:c r="E78" s="54" t="n">
        <x:v>80663</x:v>
      </x:c>
      <x:c r="F78" s="54" t="n">
        <x:v>65217</x:v>
      </x:c>
      <x:c r="G78" s="54" t="n">
        <x:v>17941</x:v>
      </x:c>
      <x:c r="H78" s="54" t="n">
        <x:v>36113</x:v>
      </x:c>
      <x:c r="I78" s="54" t="n">
        <x:v>19862</x:v>
      </x:c>
      <x:c r="J78" s="54" t="n">
        <x:v>81</x:v>
      </x:c>
      <x:c r="K78" s="53" t="n">
        <x:v>10.438681</x:v>
      </x:c>
      <x:c r="L78" s="53" t="n">
        <x:v>40.807664</x:v>
      </x:c>
      <x:c r="M78" s="53" t="n">
        <x:v>-74.069833</x:v>
      </x:c>
      <x:c r="N78" s="54" t="n">
        <x:v>250</x:v>
      </x:c>
      <x:c r="O78" s="54" t="n">
        <x:v>0</x:v>
      </x:c>
    </x:row>
    <x:row r="79">
      <x:c r="A79" s="54" t="n">
        <x:v>75</x:v>
      </x:c>
      <x:c r="B79" s="54" t="n">
        <x:v>1</x:v>
      </x:c>
      <x:c r="C79" s="54" t="n">
        <x:v>1</x:v>
      </x:c>
      <x:c r="D79" s="54" t="n">
        <x:v>1</x:v>
      </x:c>
      <x:c r="E79" s="54" t="n">
        <x:v>68239</x:v>
      </x:c>
      <x:c r="F79" s="54" t="n">
        <x:v>64577</x:v>
      </x:c>
      <x:c r="G79" s="54" t="n">
        <x:v>36230</x:v>
      </x:c>
      <x:c r="H79" s="54" t="n">
        <x:v>23103</x:v>
      </x:c>
      <x:c r="I79" s="54" t="n">
        <x:v>13400</x:v>
      </x:c>
      <x:c r="J79" s="54" t="n">
        <x:v>55</x:v>
      </x:c>
      <x:c r="K79" s="53" t="n">
        <x:v>9.391018</x:v>
      </x:c>
      <x:c r="L79" s="53" t="n">
        <x:v>33.7565</x:v>
      </x:c>
      <x:c r="M79" s="53" t="n">
        <x:v>-84.4038</x:v>
      </x:c>
      <x:c r="N79" s="54" t="n">
        <x:v>250</x:v>
      </x:c>
      <x:c r="O79" s="54" t="n">
        <x:v>1</x:v>
      </x:c>
    </x:row>
    <x:row r="80">
      <x:c r="A80" s="54" t="n">
        <x:v>76</x:v>
      </x:c>
      <x:c r="B80" s="54" t="n">
        <x:v>1</x:v>
      </x:c>
      <x:c r="C80" s="54" t="n">
        <x:v>1</x:v>
      </x:c>
      <x:c r="D80" s="54" t="n">
        <x:v>0</x:v>
      </x:c>
      <x:c r="E80" s="54" t="n">
        <x:v>68239</x:v>
      </x:c>
      <x:c r="F80" s="54" t="n">
        <x:v>51780</x:v>
      </x:c>
      <x:c r="G80" s="54" t="n">
        <x:v>25407</x:v>
      </x:c>
      <x:c r="H80" s="54" t="n">
        <x:v>18407</x:v>
      </x:c>
      <x:c r="I80" s="54" t="n">
        <x:v>10676</x:v>
      </x:c>
      <x:c r="J80" s="54" t="n">
        <x:v>62</x:v>
      </x:c>
      <x:c r="K80" s="53" t="n">
        <x:v>9.391018</x:v>
      </x:c>
      <x:c r="L80" s="53" t="n">
        <x:v>33.7565</x:v>
      </x:c>
      <x:c r="M80" s="53" t="n">
        <x:v>-84.4038</x:v>
      </x:c>
      <x:c r="N80" s="54" t="n">
        <x:v>250</x:v>
      </x:c>
      <x:c r="O80" s="54" t="n">
        <x:v>0</x:v>
      </x:c>
    </x:row>
    <x:row r="81">
      <x:c r="A81" s="54" t="n">
        <x:v>77</x:v>
      </x:c>
      <x:c r="B81" s="54" t="n">
        <x:v>8</x:v>
      </x:c>
      <x:c r="C81" s="54" t="n">
        <x:v>15</x:v>
      </x:c>
      <x:c r="D81" s="54" t="n">
        <x:v>0</x:v>
      </x:c>
      <x:c r="E81" s="54" t="n">
        <x:v>80663</x:v>
      </x:c>
      <x:c r="F81" s="54" t="n">
        <x:v>71510</x:v>
      </x:c>
      <x:c r="G81" s="54" t="n">
        <x:v>20257</x:v>
      </x:c>
      <x:c r="H81" s="54" t="n">
        <x:v>45599</x:v>
      </x:c>
      <x:c r="I81" s="54" t="n">
        <x:v>25079</x:v>
      </x:c>
      <x:c r="J81" s="54" t="n">
        <x:v>66</x:v>
      </x:c>
      <x:c r="K81" s="53" t="n">
        <x:v>10.438681</x:v>
      </x:c>
      <x:c r="L81" s="53" t="n">
        <x:v>40.807664</x:v>
      </x:c>
      <x:c r="M81" s="53" t="n">
        <x:v>-74.069833</x:v>
      </x:c>
      <x:c r="N81" s="54" t="n">
        <x:v>250</x:v>
      </x:c>
      <x:c r="O81" s="54" t="n">
        <x:v>0</x:v>
      </x:c>
    </x:row>
    <x:row r="82">
      <x:c r="A82" s="54" t="n">
        <x:v>78</x:v>
      </x:c>
      <x:c r="B82" s="54" t="n">
        <x:v>7</x:v>
      </x:c>
      <x:c r="C82" s="54" t="n">
        <x:v>13</x:v>
      </x:c>
      <x:c r="D82" s="54" t="n">
        <x:v>1</x:v>
      </x:c>
      <x:c r="E82" s="54" t="n">
        <x:v>64478</x:v>
      </x:c>
      <x:c r="F82" s="54" t="n">
        <x:v>54985</x:v>
      </x:c>
      <x:c r="G82" s="54" t="n">
        <x:v>15812</x:v>
      </x:c>
      <x:c r="H82" s="54" t="n">
        <x:v>7054</x:v>
      </x:c>
      <x:c r="I82" s="54" t="n">
        <x:v>3880</x:v>
      </x:c>
      <x:c r="J82" s="54" t="n">
        <x:v>136</x:v>
      </x:c>
      <x:c r="K82" s="53" t="n">
        <x:v>8.69743</x:v>
      </x:c>
      <x:c r="L82" s="53" t="n">
        <x:v>25.957</x:v>
      </x:c>
      <x:c r="M82" s="53" t="n">
        <x:v>-80.2425</x:v>
      </x:c>
      <x:c r="N82" s="54" t="n">
        <x:v>400</x:v>
      </x:c>
      <x:c r="O82" s="54" t="n">
        <x:v>0</x:v>
      </x:c>
    </x:row>
    <x:row r="83">
      <x:c r="A83" s="54" t="n">
        <x:v>79</x:v>
      </x:c>
      <x:c r="B83" s="54" t="n">
        <x:v>3</x:v>
      </x:c>
      <x:c r="C83" s="54" t="n">
        <x:v>6</x:v>
      </x:c>
      <x:c r="D83" s="54" t="n">
        <x:v>0</x:v>
      </x:c>
      <x:c r="E83" s="54" t="n">
        <x:v>70649</x:v>
      </x:c>
      <x:c r="F83" s="54" t="n">
        <x:v>55711</x:v>
      </x:c>
      <x:c r="G83" s="54" t="n">
        <x:v>5421</x:v>
      </x:c>
      <x:c r="H83" s="54" t="n">
        <x:v>13501</x:v>
      </x:c>
      <x:c r="I83" s="54" t="n">
        <x:v>6075</x:v>
      </x:c>
      <x:c r="J83" s="54" t="n">
        <x:v>112</x:v>
      </x:c>
      <x:c r="K83" s="53" t="n">
        <x:v>10.033037</x:v>
      </x:c>
      <x:c r="L83" s="53" t="n">
        <x:v>32.7506</x:v>
      </x:c>
      <x:c r="M83" s="53" t="n">
        <x:v>-97.0915</x:v>
      </x:c>
      <x:c r="N83" s="54" t="n">
        <x:v>350</x:v>
      </x:c>
      <x:c r="O83" s="54" t="n">
        <x:v>0</x:v>
      </x:c>
    </x:row>
    <x:row r="84">
      <x:c r="A84" s="54" t="n">
        <x:v>80</x:v>
      </x:c>
      <x:c r="B84" s="54" t="n">
        <x:v>1</x:v>
      </x:c>
      <x:c r="C84" s="54" t="n">
        <x:v>1</x:v>
      </x:c>
      <x:c r="D84" s="54" t="n">
        <x:v>1</x:v>
      </x:c>
      <x:c r="E84" s="54" t="n">
        <x:v>68239</x:v>
      </x:c>
      <x:c r="F84" s="54" t="n">
        <x:v>54666</x:v>
      </x:c>
      <x:c r="G84" s="54" t="n">
        <x:v>22513</x:v>
      </x:c>
      <x:c r="H84" s="54" t="n">
        <x:v>22347</x:v>
      </x:c>
      <x:c r="I84" s="54" t="n">
        <x:v>12961</x:v>
      </x:c>
      <x:c r="J84" s="54" t="n">
        <x:v>56</x:v>
      </x:c>
      <x:c r="K84" s="53" t="n">
        <x:v>9.391018</x:v>
      </x:c>
      <x:c r="L84" s="53" t="n">
        <x:v>33.7565</x:v>
      </x:c>
      <x:c r="M84" s="53" t="n">
        <x:v>-84.4038</x:v>
      </x:c>
      <x:c r="N84" s="54" t="n">
        <x:v>250</x:v>
      </x:c>
      <x:c r="O84" s="54" t="n">
        <x:v>0</x:v>
      </x:c>
    </x:row>
    <x:row r="85">
      <x:c r="A85" s="54" t="n">
        <x:v>81</x:v>
      </x:c>
      <x:c r="B85" s="54" t="n">
        <x:v>4</x:v>
      </x:c>
      <x:c r="C85" s="54" t="n">
        <x:v>8</x:v>
      </x:c>
      <x:c r="D85" s="54" t="n">
        <x:v>0</x:v>
      </x:c>
      <x:c r="E85" s="54" t="n">
        <x:v>68777</x:v>
      </x:c>
      <x:c r="F85" s="54" t="n">
        <x:v>56423</x:v>
      </x:c>
      <x:c r="G85" s="54" t="n">
        <x:v>9429</x:v>
      </x:c>
      <x:c r="H85" s="54" t="n">
        <x:v>15648</x:v>
      </x:c>
      <x:c r="I85" s="54" t="n">
        <x:v>6259</x:v>
      </x:c>
      <x:c r="J85" s="54" t="n">
        <x:v>82</x:v>
      </x:c>
      <x:c r="K85" s="53" t="n">
        <x:v>9.092387</x:v>
      </x:c>
      <x:c r="L85" s="53" t="n">
        <x:v>29.6846</x:v>
      </x:c>
      <x:c r="M85" s="53" t="n">
        <x:v>-95.4141</x:v>
      </x:c>
      <x:c r="N85" s="54" t="n">
        <x:v>300</x:v>
      </x:c>
      <x:c r="O85" s="54" t="n">
        <x:v>0</x:v>
      </x:c>
    </x:row>
    <x:row r="86">
      <x:c r="A86" s="54" t="n">
        <x:v>82</x:v>
      </x:c>
      <x:c r="B86" s="54" t="n">
        <x:v>8</x:v>
      </x:c>
      <x:c r="C86" s="54" t="n">
        <x:v>15</x:v>
      </x:c>
      <x:c r="D86" s="54" t="n">
        <x:v>3</x:v>
      </x:c>
      <x:c r="E86" s="54" t="n">
        <x:v>80663</x:v>
      </x:c>
      <x:c r="F86" s="54" t="n">
        <x:v>79204</x:v>
      </x:c>
      <x:c r="G86" s="54" t="n">
        <x:v>31825</x:v>
      </x:c>
      <x:c r="H86" s="54" t="n">
        <x:v>47700</x:v>
      </x:c>
      <x:c r="I86" s="54" t="n">
        <x:v>26235</x:v>
      </x:c>
      <x:c r="J86" s="54" t="n">
        <x:v>82</x:v>
      </x:c>
      <x:c r="K86" s="53" t="n">
        <x:v>10.438681</x:v>
      </x:c>
      <x:c r="L86" s="53" t="n">
        <x:v>40.807664</x:v>
      </x:c>
      <x:c r="M86" s="53" t="n">
        <x:v>-74.069833</x:v>
      </x:c>
      <x:c r="N86" s="54" t="n">
        <x:v>250</x:v>
      </x:c>
      <x:c r="O86" s="54" t="n">
        <x:v>1</x:v>
      </x:c>
    </x:row>
    <x:row r="87">
      <x:c r="A87" s="54" t="n">
        <x:v>83</x:v>
      </x:c>
      <x:c r="B87" s="54" t="n">
        <x:v>10</x:v>
      </x:c>
      <x:c r="C87" s="54" t="n">
        <x:v>19</x:v>
      </x:c>
      <x:c r="D87" s="54" t="n">
        <x:v>1</x:v>
      </x:c>
      <x:c r="E87" s="54" t="n">
        <x:v>68827</x:v>
      </x:c>
      <x:c r="F87" s="54" t="n">
        <x:v>60118</x:v>
      </x:c>
      <x:c r="G87" s="54" t="n">
        <x:v>32752</x:v>
      </x:c>
      <x:c r="H87" s="54" t="n">
        <x:v>24013</x:v>
      </x:c>
      <x:c r="I87" s="54" t="n">
        <x:v>15608</x:v>
      </x:c>
      <x:c r="J87" s="54" t="n">
        <x:v>84</x:v>
      </x:c>
      <x:c r="K87" s="53" t="n">
        <x:v>8.807888</x:v>
      </x:c>
      <x:c r="L87" s="53" t="n">
        <x:v>37.403468</x:v>
      </x:c>
      <x:c r="M87" s="53" t="n">
        <x:v>-121.974908</x:v>
      </x:c>
      <x:c r="N87" s="54" t="n">
        <x:v>250</x:v>
      </x:c>
      <x:c r="O87" s="54" t="n">
        <x:v>1</x:v>
      </x:c>
    </x:row>
    <x:row r="88">
      <x:c r="A88" s="54" t="n">
        <x:v>84</x:v>
      </x:c>
      <x:c r="B88" s="54" t="n">
        <x:v>8</x:v>
      </x:c>
      <x:c r="C88" s="54" t="n">
        <x:v>16</x:v>
      </x:c>
      <x:c r="D88" s="54" t="n">
        <x:v>0</x:v>
      </x:c>
      <x:c r="E88" s="54" t="n">
        <x:v>80663</x:v>
      </x:c>
      <x:c r="F88" s="54" t="n">
        <x:v>70329</x:v>
      </x:c>
      <x:c r="G88" s="54" t="n">
        <x:v>16036</x:v>
      </x:c>
      <x:c r="H88" s="54" t="n">
        <x:v>37256</x:v>
      </x:c>
      <x:c r="I88" s="54" t="n">
        <x:v>16765</x:v>
      </x:c>
      <x:c r="J88" s="54" t="n">
        <x:v>76</x:v>
      </x:c>
      <x:c r="K88" s="53" t="n">
        <x:v>10.438681</x:v>
      </x:c>
      <x:c r="L88" s="53" t="n">
        <x:v>40.81145</x:v>
      </x:c>
      <x:c r="M88" s="53" t="n">
        <x:v>-74.07075</x:v>
      </x:c>
      <x:c r="N88" s="54" t="n">
        <x:v>350</x:v>
      </x:c>
      <x:c r="O88" s="54" t="n">
        <x:v>0</x:v>
      </x:c>
    </x:row>
    <x:row r="89">
      <x:c r="A89" s="54" t="n">
        <x:v>85</x:v>
      </x:c>
      <x:c r="B89" s="54" t="n">
        <x:v>8</x:v>
      </x:c>
      <x:c r="C89" s="54" t="n">
        <x:v>15</x:v>
      </x:c>
      <x:c r="D89" s="54" t="n">
        <x:v>0</x:v>
      </x:c>
      <x:c r="E89" s="54" t="n">
        <x:v>80663</x:v>
      </x:c>
      <x:c r="F89" s="54" t="n">
        <x:v>62838</x:v>
      </x:c>
      <x:c r="G89" s="54" t="n">
        <x:v>17668</x:v>
      </x:c>
      <x:c r="H89" s="54" t="n">
        <x:v>39151</x:v>
      </x:c>
      <x:c r="I89" s="54" t="n">
        <x:v>21533</x:v>
      </x:c>
      <x:c r="J89" s="54" t="n">
        <x:v>53</x:v>
      </x:c>
      <x:c r="K89" s="53" t="n">
        <x:v>10.438681</x:v>
      </x:c>
      <x:c r="L89" s="53" t="n">
        <x:v>40.807664</x:v>
      </x:c>
      <x:c r="M89" s="53" t="n">
        <x:v>-74.069833</x:v>
      </x:c>
      <x:c r="N89" s="54" t="n">
        <x:v>250</x:v>
      </x:c>
      <x:c r="O89" s="54" t="n">
        <x:v>0</x:v>
      </x:c>
    </x:row>
    <x:row r="90">
      <x:c r="A90" s="54" t="n">
        <x:v>86</x:v>
      </x:c>
      <x:c r="B90" s="54" t="n">
        <x:v>4</x:v>
      </x:c>
      <x:c r="C90" s="54" t="n">
        <x:v>7</x:v>
      </x:c>
      <x:c r="D90" s="54" t="n">
        <x:v>2</x:v>
      </x:c>
      <x:c r="E90" s="54" t="n">
        <x:v>68777</x:v>
      </x:c>
      <x:c r="F90" s="54" t="n">
        <x:v>57852</x:v>
      </x:c>
      <x:c r="G90" s="54" t="n">
        <x:v>15467</x:v>
      </x:c>
      <x:c r="H90" s="54" t="n">
        <x:v>9833</x:v>
      </x:c>
      <x:c r="I90" s="54" t="n">
        <x:v>5900</x:v>
      </x:c>
      <x:c r="J90" s="54" t="n">
        <x:v>73</x:v>
      </x:c>
      <x:c r="K90" s="53" t="n">
        <x:v>9.092387</x:v>
      </x:c>
      <x:c r="L90" s="53" t="n">
        <x:v>29.6852</x:v>
      </x:c>
      <x:c r="M90" s="53" t="n">
        <x:v>-95.407</x:v>
      </x:c>
      <x:c r="N90" s="54" t="n">
        <x:v>250</x:v>
      </x:c>
      <x:c r="O90" s="54" t="n">
        <x:v>0</x:v>
      </x:c>
    </x:row>
    <x:row r="91">
      <x:c r="A91" s="54" t="n">
        <x:v>87</x:v>
      </x:c>
      <x:c r="B91" s="54" t="n">
        <x:v>2</x:v>
      </x:c>
      <x:c r="C91" s="54" t="n">
        <x:v>4</x:v>
      </x:c>
      <x:c r="D91" s="54" t="n">
        <x:v>0</x:v>
      </x:c>
      <x:c r="E91" s="54" t="n">
        <x:v>64146</x:v>
      </x:c>
      <x:c r="F91" s="54" t="n">
        <x:v>46514</x:v>
      </x:c>
      <x:c r="G91" s="54" t="n">
        <x:v>11418</x:v>
      </x:c>
      <x:c r="H91" s="54" t="n">
        <x:v>9390</x:v>
      </x:c>
      <x:c r="I91" s="54" t="n">
        <x:v>3287</x:v>
      </x:c>
      <x:c r="J91" s="54" t="n">
        <x:v>97</x:v>
      </x:c>
      <x:c r="K91" s="53" t="n">
        <x:v>8.671598</x:v>
      </x:c>
      <x:c r="L91" s="53" t="n">
        <x:v>42.0916</x:v>
      </x:c>
      <x:c r="M91" s="53" t="n">
        <x:v>-71.2648</x:v>
      </x:c>
      <x:c r="N91" s="54" t="n">
        <x:v>300</x:v>
      </x:c>
      <x:c r="O91" s="54" t="n">
        <x:v>0</x:v>
      </x:c>
    </x:row>
    <x:row r="92">
      <x:c r="A92" s="54" t="n">
        <x:v>88</x:v>
      </x:c>
      <x:c r="B92" s="54" t="n">
        <x:v>2</x:v>
      </x:c>
      <x:c r="C92" s="54" t="n">
        <x:v>3</x:v>
      </x:c>
      <x:c r="D92" s="54" t="n">
        <x:v>0</x:v>
      </x:c>
      <x:c r="E92" s="54" t="n">
        <x:v>64146</x:v>
      </x:c>
      <x:c r="F92" s="54" t="n">
        <x:v>54311</x:v>
      </x:c>
      <x:c r="G92" s="54" t="n">
        <x:v>14472</x:v>
      </x:c>
      <x:c r="H92" s="54" t="n">
        <x:v>5685</x:v>
      </x:c>
      <x:c r="I92" s="54" t="n">
        <x:v>3695</x:v>
      </x:c>
      <x:c r="J92" s="54" t="n">
        <x:v>108</x:v>
      </x:c>
      <x:c r="K92" s="53" t="n">
        <x:v>8.671598</x:v>
      </x:c>
      <x:c r="L92" s="53" t="n">
        <x:v>42.0889</x:v>
      </x:c>
      <x:c r="M92" s="53" t="n">
        <x:v>-71.2597</x:v>
      </x:c>
      <x:c r="N92" s="54" t="n">
        <x:v>250</x:v>
      </x:c>
      <x:c r="O92" s="54" t="n">
        <x:v>0</x:v>
      </x:c>
    </x:row>
    <x:row r="93">
      <x:c r="A93" s="54" t="n">
        <x:v>89</x:v>
      </x:c>
      <x:c r="B93" s="54" t="n">
        <x:v>1</x:v>
      </x:c>
      <x:c r="C93" s="54" t="n">
        <x:v>1</x:v>
      </x:c>
      <x:c r="D93" s="54" t="n">
        <x:v>1</x:v>
      </x:c>
      <x:c r="E93" s="54" t="n">
        <x:v>68239</x:v>
      </x:c>
      <x:c r="F93" s="54" t="n">
        <x:v>63582</x:v>
      </x:c>
      <x:c r="G93" s="54" t="n">
        <x:v>28187</x:v>
      </x:c>
      <x:c r="H93" s="54" t="n">
        <x:v>22085</x:v>
      </x:c>
      <x:c r="I93" s="54" t="n">
        <x:v>12809</x:v>
      </x:c>
      <x:c r="J93" s="54" t="n">
        <x:v>53</x:v>
      </x:c>
      <x:c r="K93" s="53" t="n">
        <x:v>9.391018</x:v>
      </x:c>
      <x:c r="L93" s="53" t="n">
        <x:v>33.7565</x:v>
      </x:c>
      <x:c r="M93" s="53" t="n">
        <x:v>-84.4038</x:v>
      </x:c>
      <x:c r="N93" s="54" t="n">
        <x:v>250</x:v>
      </x:c>
      <x:c r="O93" s="54" t="n">
        <x:v>0</x:v>
      </x:c>
    </x:row>
    <x:row r="94">
      <x:c r="A94" s="54" t="n">
        <x:v>90</x:v>
      </x:c>
      <x:c r="B94" s="54" t="n">
        <x:v>1</x:v>
      </x:c>
      <x:c r="C94" s="54" t="n">
        <x:v>1</x:v>
      </x:c>
      <x:c r="D94" s="54" t="n">
        <x:v>2</x:v>
      </x:c>
      <x:c r="E94" s="54" t="n">
        <x:v>68239</x:v>
      </x:c>
      <x:c r="F94" s="54" t="n">
        <x:v>51789</x:v>
      </x:c>
      <x:c r="G94" s="54" t="n">
        <x:v>22384</x:v>
      </x:c>
      <x:c r="H94" s="54" t="n">
        <x:v>23775</x:v>
      </x:c>
      <x:c r="I94" s="54" t="n">
        <x:v>13789</x:v>
      </x:c>
      <x:c r="J94" s="54" t="n">
        <x:v>59</x:v>
      </x:c>
      <x:c r="K94" s="53" t="n">
        <x:v>9.391018</x:v>
      </x:c>
      <x:c r="L94" s="53" t="n">
        <x:v>33.7565</x:v>
      </x:c>
      <x:c r="M94" s="53" t="n">
        <x:v>-84.4038</x:v>
      </x:c>
      <x:c r="N94" s="54" t="n">
        <x:v>250</x:v>
      </x:c>
      <x:c r="O94" s="54" t="n">
        <x:v>0</x:v>
      </x:c>
    </x:row>
    <x:row r="95">
      <x:c r="A95" s="54" t="n">
        <x:v>91</x:v>
      </x:c>
      <x:c r="B95" s="54" t="n">
        <x:v>1</x:v>
      </x:c>
      <x:c r="C95" s="54" t="n">
        <x:v>1</x:v>
      </x:c>
      <x:c r="D95" s="54" t="n">
        <x:v>3</x:v>
      </x:c>
      <x:c r="E95" s="54" t="n">
        <x:v>68239</x:v>
      </x:c>
      <x:c r="F95" s="54" t="n">
        <x:v>59341</x:v>
      </x:c>
      <x:c r="G95" s="54" t="n">
        <x:v>30695</x:v>
      </x:c>
      <x:c r="H95" s="54" t="n">
        <x:v>22097</x:v>
      </x:c>
      <x:c r="I95" s="54" t="n">
        <x:v>12816</x:v>
      </x:c>
      <x:c r="J95" s="54" t="n">
        <x:v>75</x:v>
      </x:c>
      <x:c r="K95" s="53" t="n">
        <x:v>9.391018</x:v>
      </x:c>
      <x:c r="L95" s="53" t="n">
        <x:v>33.7565</x:v>
      </x:c>
      <x:c r="M95" s="53" t="n">
        <x:v>-84.4038</x:v>
      </x:c>
      <x:c r="N95" s="54" t="n">
        <x:v>250</x:v>
      </x:c>
      <x:c r="O95" s="54" t="n">
        <x:v>1</x:v>
      </x:c>
    </x:row>
    <x:row r="96">
      <x:c r="A96" s="54" t="n">
        <x:v>92</x:v>
      </x:c>
      <x:c r="B96" s="54" t="n">
        <x:v>1</x:v>
      </x:c>
      <x:c r="C96" s="54" t="n">
        <x:v>1</x:v>
      </x:c>
      <x:c r="D96" s="54" t="n">
        <x:v>1</x:v>
      </x:c>
      <x:c r="E96" s="54" t="n">
        <x:v>68239</x:v>
      </x:c>
      <x:c r="F96" s="54" t="n">
        <x:v>66172</x:v>
      </x:c>
      <x:c r="G96" s="54" t="n">
        <x:v>37938</x:v>
      </x:c>
      <x:c r="H96" s="54" t="n">
        <x:v>27562</x:v>
      </x:c>
      <x:c r="I96" s="54" t="n">
        <x:v>15986</x:v>
      </x:c>
      <x:c r="J96" s="54" t="n">
        <x:v>62</x:v>
      </x:c>
      <x:c r="K96" s="53" t="n">
        <x:v>9.391018</x:v>
      </x:c>
      <x:c r="L96" s="53" t="n">
        <x:v>33.7565</x:v>
      </x:c>
      <x:c r="M96" s="53" t="n">
        <x:v>-84.4038</x:v>
      </x:c>
      <x:c r="N96" s="54" t="n">
        <x:v>250</x:v>
      </x:c>
      <x:c r="O96" s="54" t="n">
        <x:v>1</x:v>
      </x:c>
    </x:row>
    <x:row r="97">
      <x:c r="A97" s="54" t="n">
        <x:v>93</x:v>
      </x:c>
      <x:c r="B97" s="54" t="n">
        <x:v>8</x:v>
      </x:c>
      <x:c r="C97" s="54" t="n">
        <x:v>15</x:v>
      </x:c>
      <x:c r="D97" s="54" t="n">
        <x:v>0</x:v>
      </x:c>
      <x:c r="E97" s="54" t="n">
        <x:v>80663</x:v>
      </x:c>
      <x:c r="F97" s="54" t="n">
        <x:v>70756</x:v>
      </x:c>
      <x:c r="G97" s="54" t="n">
        <x:v>18825</x:v>
      </x:c>
      <x:c r="H97" s="54" t="n">
        <x:v>39258</x:v>
      </x:c>
      <x:c r="I97" s="54" t="n">
        <x:v>21592</x:v>
      </x:c>
      <x:c r="J97" s="54" t="n">
        <x:v>72</x:v>
      </x:c>
      <x:c r="K97" s="53" t="n">
        <x:v>10.438681</x:v>
      </x:c>
      <x:c r="L97" s="53" t="n">
        <x:v>40.807664</x:v>
      </x:c>
      <x:c r="M97" s="53" t="n">
        <x:v>-74.069833</x:v>
      </x:c>
      <x:c r="N97" s="54" t="n">
        <x:v>250</x:v>
      </x:c>
      <x:c r="O97" s="54" t="n">
        <x:v>0</x:v>
      </x:c>
    </x:row>
    <x:row r="98">
      <x:c r="A98" s="54" t="n">
        <x:v>94</x:v>
      </x:c>
      <x:c r="B98" s="54" t="n">
        <x:v>3</x:v>
      </x:c>
      <x:c r="C98" s="54" t="n">
        <x:v>6</x:v>
      </x:c>
      <x:c r="D98" s="54" t="n">
        <x:v>1</x:v>
      </x:c>
      <x:c r="E98" s="54" t="n">
        <x:v>70649</x:v>
      </x:c>
      <x:c r="F98" s="54" t="n">
        <x:v>63859</x:v>
      </x:c>
      <x:c r="G98" s="54" t="n">
        <x:v>9699</x:v>
      </x:c>
      <x:c r="H98" s="54" t="n">
        <x:v>14240</x:v>
      </x:c>
      <x:c r="I98" s="54" t="n">
        <x:v>6408</x:v>
      </x:c>
      <x:c r="J98" s="54" t="n">
        <x:v>112</x:v>
      </x:c>
      <x:c r="K98" s="53" t="n">
        <x:v>10.033037</x:v>
      </x:c>
      <x:c r="L98" s="53" t="n">
        <x:v>32.7506</x:v>
      </x:c>
      <x:c r="M98" s="53" t="n">
        <x:v>-97.0915</x:v>
      </x:c>
      <x:c r="N98" s="54" t="n">
        <x:v>350</x:v>
      </x:c>
      <x:c r="O98" s="54" t="n">
        <x:v>0</x:v>
      </x:c>
    </x:row>
    <x:row r="99">
      <x:c r="A99" s="54" t="n">
        <x:v>95</x:v>
      </x:c>
      <x:c r="B99" s="54" t="n">
        <x:v>6</x:v>
      </x:c>
      <x:c r="C99" s="54" t="n">
        <x:v>11</x:v>
      </x:c>
      <x:c r="D99" s="54" t="n">
        <x:v>0</x:v>
      </x:c>
      <x:c r="E99" s="54" t="n">
        <x:v>70492</x:v>
      </x:c>
      <x:c r="F99" s="54" t="n">
        <x:v>61477</x:v>
      </x:c>
      <x:c r="G99" s="54" t="n">
        <x:v>24176</x:v>
      </x:c>
      <x:c r="H99" s="54" t="n">
        <x:v>16330</x:v>
      </x:c>
      <x:c r="I99" s="54" t="n">
        <x:v>8165</x:v>
      </x:c>
      <x:c r="J99" s="54" t="n">
        <x:v>111</x:v>
      </x:c>
      <x:c r="K99" s="53" t="n">
        <x:v>9.603284</x:v>
      </x:c>
      <x:c r="L99" s="53" t="n">
        <x:v>33.9509</x:v>
      </x:c>
      <x:c r="M99" s="53" t="n">
        <x:v>-118.3441</x:v>
      </x:c>
      <x:c r="N99" s="54" t="n">
        <x:v>350</x:v>
      </x:c>
      <x:c r="O99" s="54" t="n">
        <x:v>1</x:v>
      </x:c>
    </x:row>
    <x:row r="100">
      <x:c r="A100" s="54" t="n">
        <x:v>96</x:v>
      </x:c>
      <x:c r="B100" s="54" t="n">
        <x:v>9</x:v>
      </x:c>
      <x:c r="C100" s="54" t="n">
        <x:v>17</x:v>
      </x:c>
      <x:c r="D100" s="54" t="n">
        <x:v>0</x:v>
      </x:c>
      <x:c r="E100" s="54" t="n">
        <x:v>68324</x:v>
      </x:c>
      <x:c r="F100" s="54" t="n">
        <x:v>62534</x:v>
      </x:c>
      <x:c r="G100" s="54" t="n">
        <x:v>23362</x:v>
      </x:c>
      <x:c r="H100" s="54" t="n">
        <x:v>23255</x:v>
      </x:c>
      <x:c r="I100" s="54" t="n">
        <x:v>13953</x:v>
      </x:c>
      <x:c r="J100" s="54" t="n">
        <x:v>87</x:v>
      </x:c>
      <x:c r="K100" s="53" t="n">
        <x:v>8.474327</x:v>
      </x:c>
      <x:c r="L100" s="53" t="n">
        <x:v>39.9047</x:v>
      </x:c>
      <x:c r="M100" s="53" t="n">
        <x:v>-75.1736</x:v>
      </x:c>
      <x:c r="N100" s="54" t="n">
        <x:v>250</x:v>
      </x:c>
      <x:c r="O100" s="54" t="n">
        <x:v>1</x:v>
      </x:c>
    </x:row>
    <x:row r="101">
      <x:c r="A101" s="54" t="n">
        <x:v>97</x:v>
      </x:c>
      <x:c r="B101" s="54" t="n">
        <x:v>6</x:v>
      </x:c>
      <x:c r="C101" s="54" t="n">
        <x:v>11</x:v>
      </x:c>
      <x:c r="D101" s="54" t="n">
        <x:v>1</x:v>
      </x:c>
      <x:c r="E101" s="54" t="n">
        <x:v>70492</x:v>
      </x:c>
      <x:c r="F101" s="54" t="n">
        <x:v>56204</x:v>
      </x:c>
      <x:c r="G101" s="54" t="n">
        <x:v>19808</x:v>
      </x:c>
      <x:c r="H101" s="54" t="n">
        <x:v>11580</x:v>
      </x:c>
      <x:c r="I101" s="54" t="n">
        <x:v>5790</x:v>
      </x:c>
      <x:c r="J101" s="54" t="n">
        <x:v>108</x:v>
      </x:c>
      <x:c r="K101" s="53" t="n">
        <x:v>9.603284</x:v>
      </x:c>
      <x:c r="L101" s="53" t="n">
        <x:v>33.9509</x:v>
      </x:c>
      <x:c r="M101" s="53" t="n">
        <x:v>-118.3441</x:v>
      </x:c>
      <x:c r="N101" s="54" t="n">
        <x:v>350</x:v>
      </x:c>
      <x:c r="O101" s="54" t="n">
        <x:v>0</x:v>
      </x:c>
    </x:row>
    <x:row r="102">
      <x:c r="A102" s="54" t="n">
        <x:v>98</x:v>
      </x:c>
      <x:c r="B102" s="54" t="n">
        <x:v>8</x:v>
      </x:c>
      <x:c r="C102" s="54" t="n">
        <x:v>15</x:v>
      </x:c>
      <x:c r="D102" s="54" t="n">
        <x:v>0</x:v>
      </x:c>
      <x:c r="E102" s="54" t="n">
        <x:v>80663</x:v>
      </x:c>
      <x:c r="F102" s="54" t="n">
        <x:v>69128</x:v>
      </x:c>
      <x:c r="G102" s="54" t="n">
        <x:v>19649</x:v>
      </x:c>
      <x:c r="H102" s="54" t="n">
        <x:v>41641</x:v>
      </x:c>
      <x:c r="I102" s="54" t="n">
        <x:v>22903</x:v>
      </x:c>
      <x:c r="J102" s="54" t="n">
        <x:v>77</x:v>
      </x:c>
      <x:c r="K102" s="53" t="n">
        <x:v>10.438681</x:v>
      </x:c>
      <x:c r="L102" s="53" t="n">
        <x:v>40.807664</x:v>
      </x:c>
      <x:c r="M102" s="53" t="n">
        <x:v>-74.069833</x:v>
      </x:c>
      <x:c r="N102" s="54" t="n">
        <x:v>250</x:v>
      </x:c>
      <x:c r="O102" s="54" t="n">
        <x:v>0</x:v>
      </x:c>
    </x:row>
    <x:row r="103">
      <x:c r="A103" s="54" t="n">
        <x:v>99</x:v>
      </x:c>
      <x:c r="B103" s="54" t="n">
        <x:v>8</x:v>
      </x:c>
      <x:c r="C103" s="54" t="n">
        <x:v>15</x:v>
      </x:c>
      <x:c r="D103" s="54" t="n">
        <x:v>1</x:v>
      </x:c>
      <x:c r="E103" s="54" t="n">
        <x:v>80663</x:v>
      </x:c>
      <x:c r="F103" s="54" t="n">
        <x:v>64089</x:v>
      </x:c>
      <x:c r="G103" s="54" t="n">
        <x:v>21786</x:v>
      </x:c>
      <x:c r="H103" s="54" t="n">
        <x:v>28796</x:v>
      </x:c>
      <x:c r="I103" s="54" t="n">
        <x:v>15838</x:v>
      </x:c>
      <x:c r="J103" s="54" t="n">
        <x:v>59</x:v>
      </x:c>
      <x:c r="K103" s="53" t="n">
        <x:v>10.438681</x:v>
      </x:c>
      <x:c r="L103" s="53" t="n">
        <x:v>40.807664</x:v>
      </x:c>
      <x:c r="M103" s="53" t="n">
        <x:v>-74.069833</x:v>
      </x:c>
      <x:c r="N103" s="54" t="n">
        <x:v>250</x:v>
      </x:c>
      <x:c r="O103" s="54" t="n">
        <x:v>0</x:v>
      </x:c>
    </x:row>
    <x:row r="104">
      <x:c r="A104" s="54" t="n">
        <x:v>100</x:v>
      </x:c>
      <x:c r="B104" s="54" t="n">
        <x:v>6</x:v>
      </x:c>
      <x:c r="C104" s="54" t="n">
        <x:v>11</x:v>
      </x:c>
      <x:c r="D104" s="54" t="n">
        <x:v>0</x:v>
      </x:c>
      <x:c r="E104" s="54" t="n">
        <x:v>70492</x:v>
      </x:c>
      <x:c r="F104" s="54" t="n">
        <x:v>58703</x:v>
      </x:c>
      <x:c r="G104" s="54" t="n">
        <x:v>25324</x:v>
      </x:c>
      <x:c r="H104" s="54" t="n">
        <x:v>11509</x:v>
      </x:c>
      <x:c r="I104" s="54" t="n">
        <x:v>5755</x:v>
      </x:c>
      <x:c r="J104" s="54" t="n">
        <x:v>112</x:v>
      </x:c>
      <x:c r="K104" s="53" t="n">
        <x:v>9.603284</x:v>
      </x:c>
      <x:c r="L104" s="53" t="n">
        <x:v>33.9509</x:v>
      </x:c>
      <x:c r="M104" s="53" t="n">
        <x:v>-118.3441</x:v>
      </x:c>
      <x:c r="N104" s="54" t="n">
        <x:v>350</x:v>
      </x:c>
      <x:c r="O104" s="54" t="n">
        <x:v>1</x:v>
      </x:c>
    </x:row>
    <x:row r="105">
      <x:c r="A105" s="54" t="n">
        <x:v>101</x:v>
      </x:c>
      <x:c r="B105" s="54" t="n">
        <x:v>6</x:v>
      </x:c>
      <x:c r="C105" s="54" t="n">
        <x:v>11</x:v>
      </x:c>
      <x:c r="D105" s="54" t="n">
        <x:v>0</x:v>
      </x:c>
      <x:c r="E105" s="54" t="n">
        <x:v>70492</x:v>
      </x:c>
      <x:c r="F105" s="54" t="n">
        <x:v>54612</x:v>
      </x:c>
      <x:c r="G105" s="54" t="n">
        <x:v>21035</x:v>
      </x:c>
      <x:c r="H105" s="54" t="n">
        <x:v>16909</x:v>
      </x:c>
      <x:c r="I105" s="54" t="n">
        <x:v>8455</x:v>
      </x:c>
      <x:c r="J105" s="54" t="n">
        <x:v>93</x:v>
      </x:c>
      <x:c r="K105" s="53" t="n">
        <x:v>9.603284</x:v>
      </x:c>
      <x:c r="L105" s="53" t="n">
        <x:v>33.9509</x:v>
      </x:c>
      <x:c r="M105" s="53" t="n">
        <x:v>-118.3441</x:v>
      </x:c>
      <x:c r="N105" s="54" t="n">
        <x:v>350</x:v>
      </x:c>
      <x:c r="O105" s="54" t="n">
        <x:v>0</x:v>
      </x:c>
    </x:row>
    <x:row r="106">
      <x:c r="A106" s="54" t="n">
        <x:v>102</x:v>
      </x:c>
      <x:c r="B106" s="54" t="n">
        <x:v>8</x:v>
      </x:c>
      <x:c r="C106" s="54" t="n">
        <x:v>15</x:v>
      </x:c>
      <x:c r="D106" s="54" t="n">
        <x:v>0</x:v>
      </x:c>
      <x:c r="E106" s="54" t="n">
        <x:v>80663</x:v>
      </x:c>
      <x:c r="F106" s="54" t="n">
        <x:v>50224</x:v>
      </x:c>
      <x:c r="G106" s="54" t="n">
        <x:v>13006</x:v>
      </x:c>
      <x:c r="H106" s="54" t="n">
        <x:v>23594</x:v>
      </x:c>
      <x:c r="I106" s="54" t="n">
        <x:v>12977</x:v>
      </x:c>
      <x:c r="J106" s="54" t="n">
        <x:v>82</x:v>
      </x:c>
      <x:c r="K106" s="53" t="n">
        <x:v>10.438681</x:v>
      </x:c>
      <x:c r="L106" s="53" t="n">
        <x:v>40.807664</x:v>
      </x:c>
      <x:c r="M106" s="53" t="n">
        <x:v>-74.069833</x:v>
      </x:c>
      <x:c r="N106" s="54" t="n">
        <x:v>250</x:v>
      </x:c>
      <x:c r="O106" s="54" t="n">
        <x:v>0</x:v>
      </x:c>
    </x:row>
    <x:row r="107">
      <x:c r="A107" s="54" t="n">
        <x:v>103</x:v>
      </x:c>
      <x:c r="B107" s="54" t="n">
        <x:v>6</x:v>
      </x:c>
      <x:c r="C107" s="54" t="n">
        <x:v>11</x:v>
      </x:c>
      <x:c r="D107" s="54" t="n">
        <x:v>3</x:v>
      </x:c>
      <x:c r="E107" s="54" t="n">
        <x:v>70492</x:v>
      </x:c>
      <x:c r="F107" s="54" t="n">
        <x:v>66759</x:v>
      </x:c>
      <x:c r="G107" s="54" t="n">
        <x:v>35491</x:v>
      </x:c>
      <x:c r="H107" s="54" t="n">
        <x:v>12400</x:v>
      </x:c>
      <x:c r="I107" s="54" t="n">
        <x:v>6200</x:v>
      </x:c>
      <x:c r="J107" s="54" t="n">
        <x:v>117</x:v>
      </x:c>
      <x:c r="K107" s="53" t="n">
        <x:v>9.603284</x:v>
      </x:c>
      <x:c r="L107" s="53" t="n">
        <x:v>33.9509</x:v>
      </x:c>
      <x:c r="M107" s="53" t="n">
        <x:v>-118.3441</x:v>
      </x:c>
      <x:c r="N107" s="54" t="n">
        <x:v>350</x:v>
      </x:c>
      <x:c r="O107" s="54" t="n">
        <x:v>1</x:v>
      </x:c>
    </x:row>
    <x:row r="108">
      <x:c r="A108" s="54" t="n">
        <x:v>104</x:v>
      </x:c>
      <x:c r="B108" s="54" t="n">
        <x:v>3</x:v>
      </x:c>
      <x:c r="C108" s="54" t="n">
        <x:v>6</x:v>
      </x:c>
      <x:c r="D108" s="54" t="n">
        <x:v>0</x:v>
      </x:c>
      <x:c r="E108" s="54" t="n">
        <x:v>70649</x:v>
      </x:c>
      <x:c r="F108" s="54" t="n">
        <x:v>59026</x:v>
      </x:c>
      <x:c r="G108" s="54" t="n">
        <x:v>5817</x:v>
      </x:c>
      <x:c r="H108" s="54" t="n">
        <x:v>8811</x:v>
      </x:c>
      <x:c r="I108" s="54" t="n">
        <x:v>3965</x:v>
      </x:c>
      <x:c r="J108" s="54" t="n">
        <x:v>96</x:v>
      </x:c>
      <x:c r="K108" s="53" t="n">
        <x:v>10.033037</x:v>
      </x:c>
      <x:c r="L108" s="53" t="n">
        <x:v>32.7506</x:v>
      </x:c>
      <x:c r="M108" s="53" t="n">
        <x:v>-97.0915</x:v>
      </x:c>
      <x:c r="N108" s="54" t="n">
        <x:v>350</x:v>
      </x:c>
      <x:c r="O108" s="54" t="n">
        <x:v>0</x:v>
      </x:c>
    </x:row>
    <x:row r="109">
      <x:c r="A109" s="54" t="n">
        <x:v>105</x:v>
      </x:c>
      <x:c r="B109" s="54" t="n">
        <x:v>11</x:v>
      </x:c>
      <x:c r="C109" s="54" t="n">
        <x:v>21</x:v>
      </x:c>
      <x:c r="D109" s="54" t="n">
        <x:v>0</x:v>
      </x:c>
      <x:c r="E109" s="54" t="n">
        <x:v>66925</x:v>
      </x:c>
      <x:c r="F109" s="54" t="n">
        <x:v>54438</x:v>
      </x:c>
      <x:c r="G109" s="54" t="n">
        <x:v>30111</x:v>
      </x:c>
      <x:c r="H109" s="54" t="n">
        <x:v>30134</x:v>
      </x:c>
      <x:c r="I109" s="54" t="n">
        <x:v>16574</x:v>
      </x:c>
      <x:c r="J109" s="54" t="n">
        <x:v>63</x:v>
      </x:c>
      <x:c r="K109" s="53" t="n">
        <x:v>8.408439</x:v>
      </x:c>
      <x:c r="L109" s="53" t="n">
        <x:v>47.5917</x:v>
      </x:c>
      <x:c r="M109" s="53" t="n">
        <x:v>-122.3272</x:v>
      </x:c>
      <x:c r="N109" s="54" t="n">
        <x:v>250</x:v>
      </x:c>
      <x:c r="O109" s="54" t="n">
        <x:v>1</x:v>
      </x:c>
    </x:row>
    <x:row r="110">
      <x:c r="A110" s="54" t="n">
        <x:v>106</x:v>
      </x:c>
      <x:c r="B110" s="54" t="n">
        <x:v>8</x:v>
      </x:c>
      <x:c r="C110" s="54" t="n">
        <x:v>15</x:v>
      </x:c>
      <x:c r="D110" s="54" t="n">
        <x:v>0</x:v>
      </x:c>
      <x:c r="E110" s="54" t="n">
        <x:v>80663</x:v>
      </x:c>
      <x:c r="F110" s="54" t="n">
        <x:v>75479</x:v>
      </x:c>
      <x:c r="G110" s="54" t="n">
        <x:v>29246</x:v>
      </x:c>
      <x:c r="H110" s="54" t="n">
        <x:v>52301</x:v>
      </x:c>
      <x:c r="I110" s="54" t="n">
        <x:v>28766</x:v>
      </x:c>
      <x:c r="J110" s="54" t="n">
        <x:v>77</x:v>
      </x:c>
      <x:c r="K110" s="53" t="n">
        <x:v>10.438681</x:v>
      </x:c>
      <x:c r="L110" s="53" t="n">
        <x:v>40.807664</x:v>
      </x:c>
      <x:c r="M110" s="53" t="n">
        <x:v>-74.069833</x:v>
      </x:c>
      <x:c r="N110" s="54" t="n">
        <x:v>250</x:v>
      </x:c>
      <x:c r="O110" s="54" t="n">
        <x:v>1</x:v>
      </x:c>
    </x:row>
    <x:row r="111">
      <x:c r="A111" s="54" t="n">
        <x:v>107</x:v>
      </x:c>
      <x:c r="B111" s="54" t="n">
        <x:v>6</x:v>
      </x:c>
      <x:c r="C111" s="54" t="n">
        <x:v>11</x:v>
      </x:c>
      <x:c r="D111" s="54" t="n">
        <x:v>0</x:v>
      </x:c>
      <x:c r="E111" s="54" t="n">
        <x:v>70492</x:v>
      </x:c>
      <x:c r="F111" s="54" t="n">
        <x:v>59374</x:v>
      </x:c>
      <x:c r="G111" s="54" t="n">
        <x:v>19888</x:v>
      </x:c>
      <x:c r="H111" s="54" t="n">
        <x:v>11219</x:v>
      </x:c>
      <x:c r="I111" s="54" t="n">
        <x:v>5610</x:v>
      </x:c>
      <x:c r="J111" s="54" t="n">
        <x:v>98</x:v>
      </x:c>
      <x:c r="K111" s="53" t="n">
        <x:v>9.603284</x:v>
      </x:c>
      <x:c r="L111" s="53" t="n">
        <x:v>33.9509</x:v>
      </x:c>
      <x:c r="M111" s="53" t="n">
        <x:v>-118.3441</x:v>
      </x:c>
      <x:c r="N111" s="54" t="n">
        <x:v>350</x:v>
      </x:c>
      <x:c r="O111" s="54" t="n">
        <x:v>0</x:v>
      </x:c>
    </x:row>
    <x:row r="112">
      <x:c r="A112" s="54" t="n">
        <x:v>108</x:v>
      </x:c>
      <x:c r="B112" s="54" t="n">
        <x:v>3</x:v>
      </x:c>
      <x:c r="C112" s="54" t="n">
        <x:v>6</x:v>
      </x:c>
      <x:c r="D112" s="54" t="n">
        <x:v>0</x:v>
      </x:c>
      <x:c r="E112" s="54" t="n">
        <x:v>70649</x:v>
      </x:c>
      <x:c r="F112" s="54" t="n">
        <x:v>55964</x:v>
      </x:c>
      <x:c r="G112" s="54" t="n">
        <x:v>4215</x:v>
      </x:c>
      <x:c r="H112" s="54" t="n">
        <x:v>4477</x:v>
      </x:c>
      <x:c r="I112" s="54" t="n">
        <x:v>2015</x:v>
      </x:c>
      <x:c r="J112" s="54" t="n">
        <x:v>108</x:v>
      </x:c>
      <x:c r="K112" s="53" t="n">
        <x:v>10.033037</x:v>
      </x:c>
      <x:c r="L112" s="53" t="n">
        <x:v>32.7506</x:v>
      </x:c>
      <x:c r="M112" s="53" t="n">
        <x:v>-97.0915</x:v>
      </x:c>
      <x:c r="N112" s="54" t="n">
        <x:v>350</x:v>
      </x:c>
      <x:c r="O112" s="54" t="n">
        <x:v>0</x:v>
      </x:c>
    </x:row>
    <x:row r="113">
      <x:c r="A113" s="54" t="n">
        <x:v>109</x:v>
      </x:c>
      <x:c r="B113" s="54" t="n">
        <x:v>10</x:v>
      </x:c>
      <x:c r="C113" s="54" t="n">
        <x:v>19</x:v>
      </x:c>
      <x:c r="D113" s="54" t="n">
        <x:v>0</x:v>
      </x:c>
      <x:c r="E113" s="54" t="n">
        <x:v>68827</x:v>
      </x:c>
      <x:c r="F113" s="54" t="n">
        <x:v>61134</x:v>
      </x:c>
      <x:c r="G113" s="54" t="n">
        <x:v>29329</x:v>
      </x:c>
      <x:c r="H113" s="54" t="n">
        <x:v>22573</x:v>
      </x:c>
      <x:c r="I113" s="54" t="n">
        <x:v>14672</x:v>
      </x:c>
      <x:c r="J113" s="54" t="n">
        <x:v>79</x:v>
      </x:c>
      <x:c r="K113" s="53" t="n">
        <x:v>8.807888</x:v>
      </x:c>
      <x:c r="L113" s="53" t="n">
        <x:v>37.403468</x:v>
      </x:c>
      <x:c r="M113" s="53" t="n">
        <x:v>-121.974908</x:v>
      </x:c>
      <x:c r="N113" s="54" t="n">
        <x:v>250</x:v>
      </x:c>
      <x:c r="O113" s="54" t="n">
        <x:v>1</x:v>
      </x:c>
    </x:row>
    <x:row r="114">
      <x:c r="A114" s="54" t="n">
        <x:v>110</x:v>
      </x:c>
      <x:c r="B114" s="54" t="n">
        <x:v>3</x:v>
      </x:c>
      <x:c r="C114" s="54" t="n">
        <x:v>6</x:v>
      </x:c>
      <x:c r="D114" s="54" t="n">
        <x:v>0</x:v>
      </x:c>
      <x:c r="E114" s="54" t="n">
        <x:v>70649</x:v>
      </x:c>
      <x:c r="F114" s="54" t="n">
        <x:v>56494</x:v>
      </x:c>
      <x:c r="G114" s="54" t="n">
        <x:v>12108</x:v>
      </x:c>
      <x:c r="H114" s="54" t="n">
        <x:v>11366</x:v>
      </x:c>
      <x:c r="I114" s="54" t="n">
        <x:v>5115</x:v>
      </x:c>
      <x:c r="J114" s="54" t="n">
        <x:v>103</x:v>
      </x:c>
      <x:c r="K114" s="53" t="n">
        <x:v>10.033037</x:v>
      </x:c>
      <x:c r="L114" s="53" t="n">
        <x:v>32.7506</x:v>
      </x:c>
      <x:c r="M114" s="53" t="n">
        <x:v>-97.0915</x:v>
      </x:c>
      <x:c r="N114" s="54" t="n">
        <x:v>350</x:v>
      </x:c>
      <x:c r="O114" s="54" t="n">
        <x:v>0</x:v>
      </x:c>
    </x:row>
    <x:row r="115">
      <x:c r="A115" s="54" t="n">
        <x:v>111</x:v>
      </x:c>
      <x:c r="B115" s="54" t="n">
        <x:v>9</x:v>
      </x:c>
      <x:c r="C115" s="54" t="n">
        <x:v>17</x:v>
      </x:c>
      <x:c r="D115" s="54" t="n">
        <x:v>0</x:v>
      </x:c>
      <x:c r="E115" s="54" t="n">
        <x:v>68324</x:v>
      </x:c>
      <x:c r="F115" s="54" t="n">
        <x:v>60006</x:v>
      </x:c>
      <x:c r="G115" s="54" t="n">
        <x:v>27572</x:v>
      </x:c>
      <x:c r="H115" s="54" t="n">
        <x:v>28761</x:v>
      </x:c>
      <x:c r="I115" s="54" t="n">
        <x:v>17257</x:v>
      </x:c>
      <x:c r="J115" s="54" t="n">
        <x:v>75</x:v>
      </x:c>
      <x:c r="K115" s="53" t="n">
        <x:v>8.474327</x:v>
      </x:c>
      <x:c r="L115" s="53" t="n">
        <x:v>39.9047</x:v>
      </x:c>
      <x:c r="M115" s="53" t="n">
        <x:v>-75.1736</x:v>
      </x:c>
      <x:c r="N115" s="54" t="n">
        <x:v>250</x:v>
      </x:c>
      <x:c r="O115" s="54" t="n">
        <x:v>1</x:v>
      </x:c>
    </x:row>
    <x:row r="116">
      <x:c r="A116" s="54" t="n">
        <x:v>112</x:v>
      </x:c>
      <x:c r="B116" s="54" t="n">
        <x:v>8</x:v>
      </x:c>
      <x:c r="C116" s="54" t="n">
        <x:v>15</x:v>
      </x:c>
      <x:c r="D116" s="54" t="n">
        <x:v>1</x:v>
      </x:c>
      <x:c r="E116" s="54" t="n">
        <x:v>80663</x:v>
      </x:c>
      <x:c r="F116" s="54" t="n">
        <x:v>64940</x:v>
      </x:c>
      <x:c r="G116" s="54" t="n">
        <x:v>21223</x:v>
      </x:c>
      <x:c r="H116" s="54" t="n">
        <x:v>41950</x:v>
      </x:c>
      <x:c r="I116" s="54" t="n">
        <x:v>23073</x:v>
      </x:c>
      <x:c r="J116" s="54" t="n">
        <x:v>73</x:v>
      </x:c>
      <x:c r="K116" s="53" t="n">
        <x:v>10.438681</x:v>
      </x:c>
      <x:c r="L116" s="53" t="n">
        <x:v>40.807664</x:v>
      </x:c>
      <x:c r="M116" s="53" t="n">
        <x:v>-74.069833</x:v>
      </x:c>
      <x:c r="N116" s="54" t="n">
        <x:v>250</x:v>
      </x:c>
      <x:c r="O116" s="54" t="n">
        <x:v>0</x:v>
      </x:c>
    </x:row>
    <x:row r="117">
      <x:c r="A117" s="54" t="n">
        <x:v>113</x:v>
      </x:c>
      <x:c r="B117" s="54" t="n">
        <x:v>10</x:v>
      </x:c>
      <x:c r="C117" s="54" t="n">
        <x:v>19</x:v>
      </x:c>
      <x:c r="D117" s="54" t="n">
        <x:v>0</x:v>
      </x:c>
      <x:c r="E117" s="54" t="n">
        <x:v>68827</x:v>
      </x:c>
      <x:c r="F117" s="54" t="n">
        <x:v>57001</x:v>
      </x:c>
      <x:c r="G117" s="54" t="n">
        <x:v>35071</x:v>
      </x:c>
      <x:c r="H117" s="54" t="n">
        <x:v>23233</x:v>
      </x:c>
      <x:c r="I117" s="54" t="n">
        <x:v>15101</x:v>
      </x:c>
      <x:c r="J117" s="54" t="n">
        <x:v>86</x:v>
      </x:c>
      <x:c r="K117" s="53" t="n">
        <x:v>8.807888</x:v>
      </x:c>
      <x:c r="L117" s="53" t="n">
        <x:v>37.403468</x:v>
      </x:c>
      <x:c r="M117" s="53" t="n">
        <x:v>-121.974908</x:v>
      </x:c>
      <x:c r="N117" s="54" t="n">
        <x:v>250</x:v>
      </x:c>
      <x:c r="O117" s="54" t="n">
        <x:v>1</x:v>
      </x:c>
    </x:row>
    <x:row r="118">
      <x:c r="A118" s="54" t="n">
        <x:v>114</x:v>
      </x:c>
      <x:c r="B118" s="54" t="n">
        <x:v>5</x:v>
      </x:c>
      <x:c r="C118" s="54" t="n">
        <x:v>10</x:v>
      </x:c>
      <x:c r="D118" s="54" t="n">
        <x:v>2</x:v>
      </x:c>
      <x:c r="E118" s="54" t="n">
        <x:v>69045</x:v>
      </x:c>
      <x:c r="F118" s="54" t="n">
        <x:v>57169</x:v>
      </x:c>
      <x:c r="G118" s="54" t="n">
        <x:v>4186</x:v>
      </x:c>
      <x:c r="H118" s="54" t="n">
        <x:v>8192</x:v>
      </x:c>
      <x:c r="I118" s="54" t="n">
        <x:v>3686</x:v>
      </x:c>
      <x:c r="J118" s="54" t="n">
        <x:v>132</x:v>
      </x:c>
      <x:c r="K118" s="53" t="n">
        <x:v>8.632123</x:v>
      </x:c>
      <x:c r="L118" s="53" t="n">
        <x:v>39.0491</x:v>
      </x:c>
      <x:c r="M118" s="53" t="n">
        <x:v>-94.4871</x:v>
      </x:c>
      <x:c r="N118" s="54" t="n">
        <x:v>400</x:v>
      </x:c>
      <x:c r="O118" s="54" t="n">
        <x:v>0</x:v>
      </x:c>
    </x:row>
    <x:row r="119">
      <x:c r="A119" s="54" t="n">
        <x:v>115</x:v>
      </x:c>
      <x:c r="B119" s="54" t="n">
        <x:v>7</x:v>
      </x:c>
      <x:c r="C119" s="54" t="n">
        <x:v>14</x:v>
      </x:c>
      <x:c r="D119" s="54" t="n">
        <x:v>1</x:v>
      </x:c>
      <x:c r="E119" s="54" t="n">
        <x:v>64478</x:v>
      </x:c>
      <x:c r="F119" s="54" t="n">
        <x:v>56383</x:v>
      </x:c>
      <x:c r="G119" s="54" t="n">
        <x:v>12573</x:v>
      </x:c>
      <x:c r="H119" s="54" t="n">
        <x:v>9456</x:v>
      </x:c>
      <x:c r="I119" s="54" t="n">
        <x:v>4255</x:v>
      </x:c>
      <x:c r="J119" s="54" t="n">
        <x:v>103</x:v>
      </x:c>
      <x:c r="K119" s="53" t="n">
        <x:v>8.69743</x:v>
      </x:c>
      <x:c r="L119" s="53" t="n">
        <x:v>25.9549</x:v>
      </x:c>
      <x:c r="M119" s="53" t="n">
        <x:v>-80.2383</x:v>
      </x:c>
      <x:c r="N119" s="54" t="n">
        <x:v>350</x:v>
      </x:c>
      <x:c r="O119" s="54" t="n">
        <x:v>0</x:v>
      </x:c>
    </x:row>
    <x:row r="120">
      <x:c r="A120" s="54" t="n">
        <x:v>116</x:v>
      </x:c>
      <x:c r="B120" s="54" t="n">
        <x:v>2</x:v>
      </x:c>
      <x:c r="C120" s="54" t="n">
        <x:v>3</x:v>
      </x:c>
      <x:c r="D120" s="54" t="n">
        <x:v>0</x:v>
      </x:c>
      <x:c r="E120" s="54" t="n">
        <x:v>64146</x:v>
      </x:c>
      <x:c r="F120" s="54" t="n">
        <x:v>57550</x:v>
      </x:c>
      <x:c r="G120" s="54" t="n">
        <x:v>15121</x:v>
      </x:c>
      <x:c r="H120" s="54" t="n">
        <x:v>11319</x:v>
      </x:c>
      <x:c r="I120" s="54" t="n">
        <x:v>7357</x:v>
      </x:c>
      <x:c r="J120" s="54" t="n">
        <x:v>95</x:v>
      </x:c>
      <x:c r="K120" s="53" t="n">
        <x:v>8.671598</x:v>
      </x:c>
      <x:c r="L120" s="53" t="n">
        <x:v>42.0889</x:v>
      </x:c>
      <x:c r="M120" s="53" t="n">
        <x:v>-71.2597</x:v>
      </x:c>
      <x:c r="N120" s="54" t="n">
        <x:v>250</x:v>
      </x:c>
      <x:c r="O120" s="54" t="n">
        <x:v>0</x:v>
      </x:c>
    </x:row>
    <x:row r="121">
      <x:c r="A121" s="54" t="n">
        <x:v>117</x:v>
      </x:c>
      <x:c r="B121" s="54" t="n">
        <x:v>3</x:v>
      </x:c>
      <x:c r="C121" s="54" t="n">
        <x:v>6</x:v>
      </x:c>
      <x:c r="D121" s="54" t="n">
        <x:v>0</x:v>
      </x:c>
      <x:c r="E121" s="54" t="n">
        <x:v>70649</x:v>
      </x:c>
      <x:c r="F121" s="54" t="n">
        <x:v>59399</x:v>
      </x:c>
      <x:c r="G121" s="54" t="n">
        <x:v>10047</x:v>
      </x:c>
      <x:c r="H121" s="54" t="n">
        <x:v>10223</x:v>
      </x:c>
      <x:c r="I121" s="54" t="n">
        <x:v>4600</x:v>
      </x:c>
      <x:c r="J121" s="54" t="n">
        <x:v>106</x:v>
      </x:c>
      <x:c r="K121" s="53" t="n">
        <x:v>10.033037</x:v>
      </x:c>
      <x:c r="L121" s="53" t="n">
        <x:v>32.7506</x:v>
      </x:c>
      <x:c r="M121" s="53" t="n">
        <x:v>-97.0915</x:v>
      </x:c>
      <x:c r="N121" s="54" t="n">
        <x:v>350</x:v>
      </x:c>
      <x:c r="O121" s="54" t="n">
        <x:v>0</x:v>
      </x:c>
    </x:row>
    <x:row r="122">
      <x:c r="A122" s="54" t="n">
        <x:v>118</x:v>
      </x:c>
      <x:c r="B122" s="54" t="n">
        <x:v>11</x:v>
      </x:c>
      <x:c r="C122" s="54" t="n">
        <x:v>21</x:v>
      </x:c>
      <x:c r="D122" s="54" t="n">
        <x:v>0</x:v>
      </x:c>
      <x:c r="E122" s="54" t="n">
        <x:v>66925</x:v>
      </x:c>
      <x:c r="F122" s="54" t="n">
        <x:v>56123</x:v>
      </x:c>
      <x:c r="G122" s="54" t="n">
        <x:v>33987</x:v>
      </x:c>
      <x:c r="H122" s="54" t="n">
        <x:v>26606</x:v>
      </x:c>
      <x:c r="I122" s="54" t="n">
        <x:v>14633</x:v>
      </x:c>
      <x:c r="J122" s="54" t="n">
        <x:v>69</x:v>
      </x:c>
      <x:c r="K122" s="53" t="n">
        <x:v>8.408439</x:v>
      </x:c>
      <x:c r="L122" s="53" t="n">
        <x:v>47.5917</x:v>
      </x:c>
      <x:c r="M122" s="53" t="n">
        <x:v>-122.3272</x:v>
      </x:c>
      <x:c r="N122" s="54" t="n">
        <x:v>250</x:v>
      </x:c>
      <x:c r="O122" s="54" t="n">
        <x:v>1</x:v>
      </x:c>
    </x:row>
    <x:row r="123">
      <x:c r="A123" s="54" t="n">
        <x:v>119</x:v>
      </x:c>
      <x:c r="B123" s="54" t="n">
        <x:v>11</x:v>
      </x:c>
      <x:c r="C123" s="54" t="n">
        <x:v>21</x:v>
      </x:c>
      <x:c r="D123" s="54" t="n">
        <x:v>0</x:v>
      </x:c>
      <x:c r="E123" s="54" t="n">
        <x:v>66925</x:v>
      </x:c>
      <x:c r="F123" s="54" t="n">
        <x:v>55404</x:v>
      </x:c>
      <x:c r="G123" s="54" t="n">
        <x:v>26080</x:v>
      </x:c>
      <x:c r="H123" s="54" t="n">
        <x:v>27784</x:v>
      </x:c>
      <x:c r="I123" s="54" t="n">
        <x:v>15281</x:v>
      </x:c>
      <x:c r="J123" s="54" t="n">
        <x:v>66</x:v>
      </x:c>
      <x:c r="K123" s="53" t="n">
        <x:v>8.408439</x:v>
      </x:c>
      <x:c r="L123" s="53" t="n">
        <x:v>47.5917</x:v>
      </x:c>
      <x:c r="M123" s="53" t="n">
        <x:v>-122.3272</x:v>
      </x:c>
      <x:c r="N123" s="54" t="n">
        <x:v>250</x:v>
      </x:c>
      <x:c r="O123" s="54" t="n">
        <x:v>0</x:v>
      </x:c>
    </x:row>
    <x:row r="124">
      <x:c r="A124" s="54" t="n">
        <x:v>120</x:v>
      </x:c>
      <x:c r="B124" s="54" t="n">
        <x:v>3</x:v>
      </x:c>
      <x:c r="C124" s="54" t="n">
        <x:v>6</x:v>
      </x:c>
      <x:c r="D124" s="54" t="n">
        <x:v>0</x:v>
      </x:c>
      <x:c r="E124" s="54" t="n">
        <x:v>70649</x:v>
      </x:c>
      <x:c r="F124" s="54" t="n">
        <x:v>54815</x:v>
      </x:c>
      <x:c r="G124" s="54" t="n">
        <x:v>6895</x:v>
      </x:c>
      <x:c r="H124" s="54" t="n">
        <x:v>8373</x:v>
      </x:c>
      <x:c r="I124" s="54" t="n">
        <x:v>3768</x:v>
      </x:c>
      <x:c r="J124" s="54" t="n">
        <x:v>98</x:v>
      </x:c>
      <x:c r="K124" s="53" t="n">
        <x:v>10.033037</x:v>
      </x:c>
      <x:c r="L124" s="53" t="n">
        <x:v>32.7506</x:v>
      </x:c>
      <x:c r="M124" s="53" t="n">
        <x:v>-97.0915</x:v>
      </x:c>
      <x:c r="N124" s="54" t="n">
        <x:v>350</x:v>
      </x:c>
      <x:c r="O124" s="54" t="n">
        <x:v>0</x:v>
      </x:c>
    </x:row>
    <x:row r="125">
      <x:c r="A125" s="54" t="n">
        <x:v>121</x:v>
      </x:c>
      <x:c r="B125" s="54" t="n">
        <x:v>11</x:v>
      </x:c>
      <x:c r="C125" s="54" t="n">
        <x:v>21</x:v>
      </x:c>
      <x:c r="D125" s="54" t="n">
        <x:v>3</x:v>
      </x:c>
      <x:c r="E125" s="54" t="n">
        <x:v>66925</x:v>
      </x:c>
      <x:c r="F125" s="54" t="n">
        <x:v>55480</x:v>
      </x:c>
      <x:c r="G125" s="54" t="n">
        <x:v>32303</x:v>
      </x:c>
      <x:c r="H125" s="54" t="n">
        <x:v>35756</x:v>
      </x:c>
      <x:c r="I125" s="54" t="n">
        <x:v>19666</x:v>
      </x:c>
      <x:c r="J125" s="54" t="n">
        <x:v>84</x:v>
      </x:c>
      <x:c r="K125" s="53" t="n">
        <x:v>8.408439</x:v>
      </x:c>
      <x:c r="L125" s="53" t="n">
        <x:v>47.5917</x:v>
      </x:c>
      <x:c r="M125" s="53" t="n">
        <x:v>-122.3272</x:v>
      </x:c>
      <x:c r="N125" s="54" t="n">
        <x:v>250</x:v>
      </x:c>
      <x:c r="O125" s="54" t="n">
        <x:v>1</x:v>
      </x:c>
    </x:row>
    <x:row r="126">
      <x:c r="A126" s="54" t="n">
        <x:v>122</x:v>
      </x:c>
      <x:c r="B126" s="54" t="n">
        <x:v>3</x:v>
      </x:c>
      <x:c r="C126" s="54" t="n">
        <x:v>6</x:v>
      </x:c>
      <x:c r="D126" s="54" t="n">
        <x:v>0</x:v>
      </x:c>
      <x:c r="E126" s="54" t="n">
        <x:v>70649</x:v>
      </x:c>
      <x:c r="F126" s="54" t="n">
        <x:v>60595</x:v>
      </x:c>
      <x:c r="G126" s="54" t="n">
        <x:v>8211</x:v>
      </x:c>
      <x:c r="H126" s="54" t="n">
        <x:v>10948</x:v>
      </x:c>
      <x:c r="I126" s="54" t="n">
        <x:v>4927</x:v>
      </x:c>
      <x:c r="J126" s="54" t="n">
        <x:v>122</x:v>
      </x:c>
      <x:c r="K126" s="53" t="n">
        <x:v>10.033037</x:v>
      </x:c>
      <x:c r="L126" s="53" t="n">
        <x:v>32.7506</x:v>
      </x:c>
      <x:c r="M126" s="53" t="n">
        <x:v>-97.0915</x:v>
      </x:c>
      <x:c r="N126" s="54" t="n">
        <x:v>350</x:v>
      </x:c>
      <x:c r="O126" s="54" t="n">
        <x:v>0</x:v>
      </x:c>
    </x:row>
    <x:row r="127">
      <x:c r="A127" s="54" t="n">
        <x:v>123</x:v>
      </x:c>
      <x:c r="B127" s="54" t="n">
        <x:v>1</x:v>
      </x:c>
      <x:c r="C127" s="54" t="n">
        <x:v>1</x:v>
      </x:c>
      <x:c r="D127" s="54" t="n">
        <x:v>0</x:v>
      </x:c>
      <x:c r="E127" s="54" t="n">
        <x:v>68239</x:v>
      </x:c>
      <x:c r="F127" s="54" t="n">
        <x:v>57954</x:v>
      </x:c>
      <x:c r="G127" s="54" t="n">
        <x:v>24173</x:v>
      </x:c>
      <x:c r="H127" s="54" t="n">
        <x:v>16216</x:v>
      </x:c>
      <x:c r="I127" s="54" t="n">
        <x:v>9405</x:v>
      </x:c>
      <x:c r="J127" s="54" t="n">
        <x:v>60</x:v>
      </x:c>
      <x:c r="K127" s="53" t="n">
        <x:v>9.391018</x:v>
      </x:c>
      <x:c r="L127" s="53" t="n">
        <x:v>33.7565</x:v>
      </x:c>
      <x:c r="M127" s="53" t="n">
        <x:v>-84.4038</x:v>
      </x:c>
      <x:c r="N127" s="54" t="n">
        <x:v>250</x:v>
      </x:c>
      <x:c r="O127" s="54" t="n">
        <x:v>0</x:v>
      </x:c>
    </x:row>
    <x:row r="128">
      <x:c r="A128" s="54" t="n">
        <x:v>124</x:v>
      </x:c>
      <x:c r="B128" s="54" t="n">
        <x:v>1</x:v>
      </x:c>
      <x:c r="C128" s="54" t="n">
        <x:v>1</x:v>
      </x:c>
      <x:c r="D128" s="54" t="n">
        <x:v>0</x:v>
      </x:c>
      <x:c r="E128" s="54" t="n">
        <x:v>68239</x:v>
      </x:c>
      <x:c r="F128" s="54" t="n">
        <x:v>60891</x:v>
      </x:c>
      <x:c r="G128" s="54" t="n">
        <x:v>32524</x:v>
      </x:c>
      <x:c r="H128" s="54" t="n">
        <x:v>18671</x:v>
      </x:c>
      <x:c r="I128" s="54" t="n">
        <x:v>10829</x:v>
      </x:c>
      <x:c r="J128" s="54" t="n">
        <x:v>59</x:v>
      </x:c>
      <x:c r="K128" s="53" t="n">
        <x:v>9.391018</x:v>
      </x:c>
      <x:c r="L128" s="53" t="n">
        <x:v>33.7565</x:v>
      </x:c>
      <x:c r="M128" s="53" t="n">
        <x:v>-84.4038</x:v>
      </x:c>
      <x:c r="N128" s="54" t="n">
        <x:v>250</x:v>
      </x:c>
      <x:c r="O128" s="54" t="n">
        <x:v>0</x:v>
      </x:c>
    </x:row>
    <x:row r="129">
      <x:c r="A129" s="54" t="n">
        <x:v>125</x:v>
      </x:c>
      <x:c r="B129" s="54" t="n">
        <x:v>10</x:v>
      </x:c>
      <x:c r="C129" s="54" t="n">
        <x:v>19</x:v>
      </x:c>
      <x:c r="D129" s="54" t="n">
        <x:v>1</x:v>
      </x:c>
      <x:c r="E129" s="54" t="n">
        <x:v>68827</x:v>
      </x:c>
      <x:c r="F129" s="54" t="n">
        <x:v>61861</x:v>
      </x:c>
      <x:c r="G129" s="54" t="n">
        <x:v>32993</x:v>
      </x:c>
      <x:c r="H129" s="54" t="n">
        <x:v>22511</x:v>
      </x:c>
      <x:c r="I129" s="54" t="n">
        <x:v>14632</x:v>
      </x:c>
      <x:c r="J129" s="54" t="n">
        <x:v>85</x:v>
      </x:c>
      <x:c r="K129" s="53" t="n">
        <x:v>8.807888</x:v>
      </x:c>
      <x:c r="L129" s="53" t="n">
        <x:v>37.403468</x:v>
      </x:c>
      <x:c r="M129" s="53" t="n">
        <x:v>-121.974908</x:v>
      </x:c>
      <x:c r="N129" s="54" t="n">
        <x:v>250</x:v>
      </x:c>
      <x:c r="O129" s="54" t="n">
        <x:v>1</x:v>
      </x:c>
    </x:row>
    <x:row r="130">
      <x:c r="A130" s="54" t="n">
        <x:v>126</x:v>
      </x:c>
      <x:c r="B130" s="54" t="n">
        <x:v>10</x:v>
      </x:c>
      <x:c r="C130" s="54" t="n">
        <x:v>19</x:v>
      </x:c>
      <x:c r="D130" s="54" t="n">
        <x:v>0</x:v>
      </x:c>
      <x:c r="E130" s="54" t="n">
        <x:v>68827</x:v>
      </x:c>
      <x:c r="F130" s="54" t="n">
        <x:v>61830</x:v>
      </x:c>
      <x:c r="G130" s="54" t="n">
        <x:v>31182</x:v>
      </x:c>
      <x:c r="H130" s="54" t="n">
        <x:v>24039</x:v>
      </x:c>
      <x:c r="I130" s="54" t="n">
        <x:v>15625</x:v>
      </x:c>
      <x:c r="J130" s="54" t="n">
        <x:v>92</x:v>
      </x:c>
      <x:c r="K130" s="53" t="n">
        <x:v>8.807888</x:v>
      </x:c>
      <x:c r="L130" s="53" t="n">
        <x:v>37.403468</x:v>
      </x:c>
      <x:c r="M130" s="53" t="n">
        <x:v>-121.974908</x:v>
      </x:c>
      <x:c r="N130" s="54" t="n">
        <x:v>250</x:v>
      </x:c>
      <x:c r="O130" s="54" t="n">
        <x:v>1</x:v>
      </x:c>
    </x:row>
    <x:row r="131">
      <x:c r="A131" s="54" t="n">
        <x:v>127</x:v>
      </x:c>
      <x:c r="B131" s="54" t="n">
        <x:v>4</x:v>
      </x:c>
      <x:c r="C131" s="54" t="n">
        <x:v>7</x:v>
      </x:c>
      <x:c r="D131" s="54" t="n">
        <x:v>1</x:v>
      </x:c>
      <x:c r="E131" s="54" t="n">
        <x:v>68777</x:v>
      </x:c>
      <x:c r="F131" s="54" t="n">
        <x:v>58118</x:v>
      </x:c>
      <x:c r="G131" s="54" t="n">
        <x:v>19422</x:v>
      </x:c>
      <x:c r="H131" s="54" t="n">
        <x:v>20205</x:v>
      </x:c>
      <x:c r="I131" s="54" t="n">
        <x:v>12123</x:v>
      </x:c>
      <x:c r="J131" s="54" t="n">
        <x:v>85</x:v>
      </x:c>
      <x:c r="K131" s="53" t="n">
        <x:v>9.092387</x:v>
      </x:c>
      <x:c r="L131" s="53" t="n">
        <x:v>29.6852</x:v>
      </x:c>
      <x:c r="M131" s="53" t="n">
        <x:v>-95.407</x:v>
      </x:c>
      <x:c r="N131" s="54" t="n">
        <x:v>250</x:v>
      </x:c>
      <x:c r="O131" s="54" t="n">
        <x:v>0</x:v>
      </x:c>
    </x:row>
    <x:row r="132">
      <x:c r="A132" s="54" t="n">
        <x:v>128</x:v>
      </x:c>
      <x:c r="B132" s="54" t="n">
        <x:v>10</x:v>
      </x:c>
      <x:c r="C132" s="54" t="n">
        <x:v>19</x:v>
      </x:c>
      <x:c r="D132" s="54" t="n">
        <x:v>0</x:v>
      </x:c>
      <x:c r="E132" s="54" t="n">
        <x:v>68827</x:v>
      </x:c>
      <x:c r="F132" s="54" t="n">
        <x:v>48527</x:v>
      </x:c>
      <x:c r="G132" s="54" t="n">
        <x:v>25638</x:v>
      </x:c>
      <x:c r="H132" s="54" t="n">
        <x:v>16141</x:v>
      </x:c>
      <x:c r="I132" s="54" t="n">
        <x:v>10492</x:v>
      </x:c>
      <x:c r="J132" s="54" t="n">
        <x:v>70</x:v>
      </x:c>
      <x:c r="K132" s="53" t="n">
        <x:v>8.807888</x:v>
      </x:c>
      <x:c r="L132" s="53" t="n">
        <x:v>37.403468</x:v>
      </x:c>
      <x:c r="M132" s="53" t="n">
        <x:v>-121.974908</x:v>
      </x:c>
      <x:c r="N132" s="54" t="n">
        <x:v>250</x:v>
      </x:c>
      <x:c r="O132" s="54" t="n">
        <x:v>0</x:v>
      </x:c>
    </x:row>
    <x:row r="133">
      <x:c r="A133" s="54" t="n">
        <x:v>129</x:v>
      </x:c>
      <x:c r="B133" s="54" t="n">
        <x:v>10</x:v>
      </x:c>
      <x:c r="C133" s="54" t="n">
        <x:v>19</x:v>
      </x:c>
      <x:c r="D133" s="54" t="n">
        <x:v>0</x:v>
      </x:c>
      <x:c r="E133" s="54" t="n">
        <x:v>68827</x:v>
      </x:c>
      <x:c r="F133" s="54" t="n">
        <x:v>63185</x:v>
      </x:c>
      <x:c r="G133" s="54" t="n">
        <x:v>36306</x:v>
      </x:c>
      <x:c r="H133" s="54" t="n">
        <x:v>27795</x:v>
      </x:c>
      <x:c r="I133" s="54" t="n">
        <x:v>18067</x:v>
      </x:c>
      <x:c r="J133" s="54" t="n">
        <x:v>99</x:v>
      </x:c>
      <x:c r="K133" s="53" t="n">
        <x:v>8.807888</x:v>
      </x:c>
      <x:c r="L133" s="53" t="n">
        <x:v>37.403468</x:v>
      </x:c>
      <x:c r="M133" s="53" t="n">
        <x:v>-121.974908</x:v>
      </x:c>
      <x:c r="N133" s="54" t="n">
        <x:v>250</x:v>
      </x:c>
      <x:c r="O133" s="54" t="n">
        <x:v>1</x:v>
      </x:c>
    </x:row>
    <x:row r="134">
      <x:c r="A134" s="54" t="n">
        <x:v>130</x:v>
      </x:c>
      <x:c r="B134" s="54" t="n">
        <x:v>9</x:v>
      </x:c>
      <x:c r="C134" s="54" t="n">
        <x:v>17</x:v>
      </x:c>
      <x:c r="D134" s="54" t="n">
        <x:v>0</x:v>
      </x:c>
      <x:c r="E134" s="54" t="n">
        <x:v>68324</x:v>
      </x:c>
      <x:c r="F134" s="54" t="n">
        <x:v>56223</x:v>
      </x:c>
      <x:c r="G134" s="54" t="n">
        <x:v>22018</x:v>
      </x:c>
      <x:c r="H134" s="54" t="n">
        <x:v>27545</x:v>
      </x:c>
      <x:c r="I134" s="54" t="n">
        <x:v>16527</x:v>
      </x:c>
      <x:c r="J134" s="54" t="n">
        <x:v>84</x:v>
      </x:c>
      <x:c r="K134" s="53" t="n">
        <x:v>8.474327</x:v>
      </x:c>
      <x:c r="L134" s="53" t="n">
        <x:v>39.9047</x:v>
      </x:c>
      <x:c r="M134" s="53" t="n">
        <x:v>-75.1736</x:v>
      </x:c>
      <x:c r="N134" s="54" t="n">
        <x:v>250</x:v>
      </x:c>
      <x:c r="O134" s="54" t="n">
        <x:v>1</x:v>
      </x:c>
    </x:row>
    <x:row r="135">
      <x:c r="A135" s="54" t="n">
        <x:v>131</x:v>
      </x:c>
      <x:c r="B135" s="54" t="n">
        <x:v>10</x:v>
      </x:c>
      <x:c r="C135" s="54" t="n">
        <x:v>19</x:v>
      </x:c>
      <x:c r="D135" s="54" t="n">
        <x:v>1</x:v>
      </x:c>
      <x:c r="E135" s="54" t="n">
        <x:v>68827</x:v>
      </x:c>
      <x:c r="F135" s="54" t="n">
        <x:v>59624</x:v>
      </x:c>
      <x:c r="G135" s="54" t="n">
        <x:v>40529</x:v>
      </x:c>
      <x:c r="H135" s="54" t="n">
        <x:v>23292</x:v>
      </x:c>
      <x:c r="I135" s="54" t="n">
        <x:v>15140</x:v>
      </x:c>
      <x:c r="J135" s="54" t="n">
        <x:v>101</x:v>
      </x:c>
      <x:c r="K135" s="53" t="n">
        <x:v>8.807888</x:v>
      </x:c>
      <x:c r="L135" s="53" t="n">
        <x:v>37.403468</x:v>
      </x:c>
      <x:c r="M135" s="53" t="n">
        <x:v>-121.974908</x:v>
      </x:c>
      <x:c r="N135" s="54" t="n">
        <x:v>250</x:v>
      </x:c>
      <x:c r="O135" s="54" t="n">
        <x:v>1</x:v>
      </x:c>
    </x:row>
    <x:row r="136">
      <x:c r="A136" s="54" t="n">
        <x:v>132</x:v>
      </x:c>
      <x:c r="B136" s="54" t="n">
        <x:v>8</x:v>
      </x:c>
      <x:c r="C136" s="54" t="n">
        <x:v>15</x:v>
      </x:c>
      <x:c r="D136" s="54" t="n">
        <x:v>0</x:v>
      </x:c>
      <x:c r="E136" s="54" t="n">
        <x:v>80663</x:v>
      </x:c>
      <x:c r="F136" s="54" t="n">
        <x:v>71549</x:v>
      </x:c>
      <x:c r="G136" s="54" t="n">
        <x:v>19383</x:v>
      </x:c>
      <x:c r="H136" s="54" t="n">
        <x:v>47993</x:v>
      </x:c>
      <x:c r="I136" s="54" t="n">
        <x:v>26396</x:v>
      </x:c>
      <x:c r="J136" s="54" t="n">
        <x:v>64</x:v>
      </x:c>
      <x:c r="K136" s="53" t="n">
        <x:v>10.438681</x:v>
      </x:c>
      <x:c r="L136" s="53" t="n">
        <x:v>40.807664</x:v>
      </x:c>
      <x:c r="M136" s="53" t="n">
        <x:v>-74.069833</x:v>
      </x:c>
      <x:c r="N136" s="54" t="n">
        <x:v>250</x:v>
      </x:c>
      <x:c r="O136" s="54" t="n">
        <x:v>0</x:v>
      </x:c>
    </x:row>
    <x:row r="137">
      <x:c r="A137" s="54" t="n">
        <x:v>133</x:v>
      </x:c>
      <x:c r="B137" s="54" t="n">
        <x:v>4</x:v>
      </x:c>
      <x:c r="C137" s="54" t="n">
        <x:v>7</x:v>
      </x:c>
      <x:c r="D137" s="54" t="n">
        <x:v>0</x:v>
      </x:c>
      <x:c r="E137" s="54" t="n">
        <x:v>68777</x:v>
      </x:c>
      <x:c r="F137" s="54" t="n">
        <x:v>57670</x:v>
      </x:c>
      <x:c r="G137" s="54" t="n">
        <x:v>20755</x:v>
      </x:c>
      <x:c r="H137" s="54" t="n">
        <x:v>20680</x:v>
      </x:c>
      <x:c r="I137" s="54" t="n">
        <x:v>12408</x:v>
      </x:c>
      <x:c r="J137" s="54" t="n">
        <x:v>68</x:v>
      </x:c>
      <x:c r="K137" s="53" t="n">
        <x:v>9.092387</x:v>
      </x:c>
      <x:c r="L137" s="53" t="n">
        <x:v>29.6852</x:v>
      </x:c>
      <x:c r="M137" s="53" t="n">
        <x:v>-95.407</x:v>
      </x:c>
      <x:c r="N137" s="54" t="n">
        <x:v>250</x:v>
      </x:c>
      <x:c r="O137" s="54" t="n">
        <x:v>0</x:v>
      </x:c>
    </x:row>
    <x:row r="138">
      <x:c r="A138" s="54" t="n">
        <x:v>134</x:v>
      </x:c>
      <x:c r="B138" s="54" t="n">
        <x:v>8</x:v>
      </x:c>
      <x:c r="C138" s="54" t="n">
        <x:v>15</x:v>
      </x:c>
      <x:c r="D138" s="54" t="n">
        <x:v>0</x:v>
      </x:c>
      <x:c r="E138" s="54" t="n">
        <x:v>80663</x:v>
      </x:c>
      <x:c r="F138" s="54" t="n">
        <x:v>70793</x:v>
      </x:c>
      <x:c r="G138" s="54" t="n">
        <x:v>21338</x:v>
      </x:c>
      <x:c r="H138" s="54" t="n">
        <x:v>45547</x:v>
      </x:c>
      <x:c r="I138" s="54" t="n">
        <x:v>25051</x:v>
      </x:c>
      <x:c r="J138" s="54" t="n">
        <x:v>80</x:v>
      </x:c>
      <x:c r="K138" s="53" t="n">
        <x:v>10.438681</x:v>
      </x:c>
      <x:c r="L138" s="53" t="n">
        <x:v>40.807664</x:v>
      </x:c>
      <x:c r="M138" s="53" t="n">
        <x:v>-74.069833</x:v>
      </x:c>
      <x:c r="N138" s="54" t="n">
        <x:v>250</x:v>
      </x:c>
      <x:c r="O138" s="54" t="n">
        <x:v>0</x:v>
      </x:c>
    </x:row>
    <x:row r="139">
      <x:c r="A139" s="54" t="n">
        <x:v>135</x:v>
      </x:c>
      <x:c r="B139" s="54" t="n">
        <x:v>1</x:v>
      </x:c>
      <x:c r="C139" s="54" t="n">
        <x:v>1</x:v>
      </x:c>
      <x:c r="D139" s="54" t="n">
        <x:v>1</x:v>
      </x:c>
      <x:c r="E139" s="54" t="n">
        <x:v>68239</x:v>
      </x:c>
      <x:c r="F139" s="54" t="n">
        <x:v>56754</x:v>
      </x:c>
      <x:c r="G139" s="54" t="n">
        <x:v>25194</x:v>
      </x:c>
      <x:c r="H139" s="54" t="n">
        <x:v>20629</x:v>
      </x:c>
      <x:c r="I139" s="54" t="n">
        <x:v>11965</x:v>
      </x:c>
      <x:c r="J139" s="54" t="n">
        <x:v>66</x:v>
      </x:c>
      <x:c r="K139" s="53" t="n">
        <x:v>9.391018</x:v>
      </x:c>
      <x:c r="L139" s="53" t="n">
        <x:v>33.7565</x:v>
      </x:c>
      <x:c r="M139" s="53" t="n">
        <x:v>-84.4038</x:v>
      </x:c>
      <x:c r="N139" s="54" t="n">
        <x:v>250</x:v>
      </x:c>
      <x:c r="O139" s="54" t="n">
        <x:v>0</x:v>
      </x:c>
    </x:row>
    <x:row r="140">
      <x:c r="A140" s="54" t="n">
        <x:v>136</x:v>
      </x:c>
      <x:c r="B140" s="54" t="n">
        <x:v>2</x:v>
      </x:c>
      <x:c r="C140" s="54" t="n">
        <x:v>4</x:v>
      </x:c>
      <x:c r="D140" s="54" t="n">
        <x:v>0</x:v>
      </x:c>
      <x:c r="E140" s="54" t="n">
        <x:v>64146</x:v>
      </x:c>
      <x:c r="F140" s="54" t="n">
        <x:v>62246</x:v>
      </x:c>
      <x:c r="G140" s="54" t="n">
        <x:v>10388</x:v>
      </x:c>
      <x:c r="H140" s="54" t="n">
        <x:v>16809</x:v>
      </x:c>
      <x:c r="I140" s="54" t="n">
        <x:v>5883</x:v>
      </x:c>
      <x:c r="J140" s="54" t="n">
        <x:v>108</x:v>
      </x:c>
      <x:c r="K140" s="53" t="n">
        <x:v>8.671598</x:v>
      </x:c>
      <x:c r="L140" s="53" t="n">
        <x:v>42.0916</x:v>
      </x:c>
      <x:c r="M140" s="53" t="n">
        <x:v>-71.2648</x:v>
      </x:c>
      <x:c r="N140" s="54" t="n">
        <x:v>300</x:v>
      </x:c>
      <x:c r="O140" s="54" t="n">
        <x:v>0</x:v>
      </x:c>
    </x:row>
    <x:row r="141">
      <x:c r="A141" s="54" t="n">
        <x:v>137</x:v>
      </x:c>
      <x:c r="B141" s="54" t="n">
        <x:v>7</x:v>
      </x:c>
      <x:c r="C141" s="54" t="n">
        <x:v>14</x:v>
      </x:c>
      <x:c r="D141" s="54" t="n">
        <x:v>1</x:v>
      </x:c>
      <x:c r="E141" s="54" t="n">
        <x:v>64478</x:v>
      </x:c>
      <x:c r="F141" s="54" t="n">
        <x:v>50278</x:v>
      </x:c>
      <x:c r="G141" s="54" t="n">
        <x:v>10602</x:v>
      </x:c>
      <x:c r="H141" s="54" t="n">
        <x:v>4022</x:v>
      </x:c>
      <x:c r="I141" s="54" t="n">
        <x:v>1810</x:v>
      </x:c>
      <x:c r="J141" s="54" t="n">
        <x:v>129</x:v>
      </x:c>
      <x:c r="K141" s="53" t="n">
        <x:v>8.69743</x:v>
      </x:c>
      <x:c r="L141" s="53" t="n">
        <x:v>25.9549</x:v>
      </x:c>
      <x:c r="M141" s="53" t="n">
        <x:v>-80.2383</x:v>
      </x:c>
      <x:c r="N141" s="54" t="n">
        <x:v>350</x:v>
      </x:c>
      <x:c r="O141" s="54" t="n">
        <x:v>0</x:v>
      </x:c>
    </x:row>
    <x:row r="142">
      <x:c r="A142" s="54" t="n">
        <x:v>138</x:v>
      </x:c>
      <x:c r="B142" s="54" t="n">
        <x:v>5</x:v>
      </x:c>
      <x:c r="C142" s="54" t="n">
        <x:v>10</x:v>
      </x:c>
      <x:c r="D142" s="54" t="n">
        <x:v>0</x:v>
      </x:c>
      <x:c r="E142" s="54" t="n">
        <x:v>69045</x:v>
      </x:c>
      <x:c r="F142" s="54" t="n">
        <x:v>57623</x:v>
      </x:c>
      <x:c r="G142" s="54" t="n">
        <x:v>7306</x:v>
      </x:c>
      <x:c r="H142" s="54" t="n">
        <x:v>6188</x:v>
      </x:c>
      <x:c r="I142" s="54" t="n">
        <x:v>2785</x:v>
      </x:c>
      <x:c r="J142" s="54" t="n">
        <x:v>124</x:v>
      </x:c>
      <x:c r="K142" s="53" t="n">
        <x:v>8.632123</x:v>
      </x:c>
      <x:c r="L142" s="53" t="n">
        <x:v>39.0491</x:v>
      </x:c>
      <x:c r="M142" s="53" t="n">
        <x:v>-94.4871</x:v>
      </x:c>
      <x:c r="N142" s="54" t="n">
        <x:v>400</x:v>
      </x:c>
      <x:c r="O142" s="54" t="n">
        <x:v>0</x:v>
      </x:c>
    </x:row>
    <x:row r="143">
      <x:c r="A143" s="54" t="n">
        <x:v>139</x:v>
      </x:c>
      <x:c r="B143" s="54" t="n">
        <x:v>11</x:v>
      </x:c>
      <x:c r="C143" s="54" t="n">
        <x:v>21</x:v>
      </x:c>
      <x:c r="D143" s="54" t="n">
        <x:v>0</x:v>
      </x:c>
      <x:c r="E143" s="54" t="n">
        <x:v>66925</x:v>
      </x:c>
      <x:c r="F143" s="54" t="n">
        <x:v>54632</x:v>
      </x:c>
      <x:c r="G143" s="54" t="n">
        <x:v>25927</x:v>
      </x:c>
      <x:c r="H143" s="54" t="n">
        <x:v>27887</x:v>
      </x:c>
      <x:c r="I143" s="54" t="n">
        <x:v>15338</x:v>
      </x:c>
      <x:c r="J143" s="54" t="n">
        <x:v>81</x:v>
      </x:c>
      <x:c r="K143" s="53" t="n">
        <x:v>8.408439</x:v>
      </x:c>
      <x:c r="L143" s="53" t="n">
        <x:v>47.5917</x:v>
      </x:c>
      <x:c r="M143" s="53" t="n">
        <x:v>-122.3272</x:v>
      </x:c>
      <x:c r="N143" s="54" t="n">
        <x:v>250</x:v>
      </x:c>
      <x:c r="O143" s="54" t="n">
        <x:v>1</x:v>
      </x:c>
    </x:row>
    <x:row r="144">
      <x:c r="A144" s="54" t="n">
        <x:v>140</x:v>
      </x:c>
      <x:c r="B144" s="54" t="n">
        <x:v>3</x:v>
      </x:c>
      <x:c r="C144" s="54" t="n">
        <x:v>6</x:v>
      </x:c>
      <x:c r="D144" s="54" t="n">
        <x:v>0</x:v>
      </x:c>
      <x:c r="E144" s="54" t="n">
        <x:v>70649</x:v>
      </x:c>
      <x:c r="F144" s="54" t="n">
        <x:v>54556</x:v>
      </x:c>
      <x:c r="G144" s="54" t="n">
        <x:v>3546</x:v>
      </x:c>
      <x:c r="H144" s="54" t="n">
        <x:v>8239</x:v>
      </x:c>
      <x:c r="I144" s="54" t="n">
        <x:v>3708</x:v>
      </x:c>
      <x:c r="J144" s="54" t="n">
        <x:v>99</x:v>
      </x:c>
      <x:c r="K144" s="53" t="n">
        <x:v>10.033037</x:v>
      </x:c>
      <x:c r="L144" s="53" t="n">
        <x:v>32.7506</x:v>
      </x:c>
      <x:c r="M144" s="53" t="n">
        <x:v>-97.0915</x:v>
      </x:c>
      <x:c r="N144" s="54" t="n">
        <x:v>350</x:v>
      </x:c>
      <x:c r="O144" s="54" t="n">
        <x:v>0</x:v>
      </x:c>
    </x:row>
    <x:row r="145">
      <x:c r="A145" s="54" t="n">
        <x:v>141</x:v>
      </x:c>
      <x:c r="B145" s="54" t="n">
        <x:v>1</x:v>
      </x:c>
      <x:c r="C145" s="54" t="n">
        <x:v>1</x:v>
      </x:c>
      <x:c r="D145" s="54" t="n">
        <x:v>0</x:v>
      </x:c>
      <x:c r="E145" s="54" t="n">
        <x:v>68239</x:v>
      </x:c>
      <x:c r="F145" s="54" t="n">
        <x:v>57312</x:v>
      </x:c>
      <x:c r="G145" s="54" t="n">
        <x:v>22966</x:v>
      </x:c>
      <x:c r="H145" s="54" t="n">
        <x:v>20697</x:v>
      </x:c>
      <x:c r="I145" s="54" t="n">
        <x:v>12004</x:v>
      </x:c>
      <x:c r="J145" s="54" t="n">
        <x:v>58</x:v>
      </x:c>
      <x:c r="K145" s="53" t="n">
        <x:v>9.391018</x:v>
      </x:c>
      <x:c r="L145" s="53" t="n">
        <x:v>33.7565</x:v>
      </x:c>
      <x:c r="M145" s="53" t="n">
        <x:v>-84.4038</x:v>
      </x:c>
      <x:c r="N145" s="54" t="n">
        <x:v>250</x:v>
      </x:c>
      <x:c r="O145" s="54" t="n">
        <x:v>0</x:v>
      </x:c>
    </x:row>
    <x:row r="146">
      <x:c r="A146" s="54" t="n">
        <x:v>142</x:v>
      </x:c>
      <x:c r="B146" s="54" t="n">
        <x:v>6</x:v>
      </x:c>
      <x:c r="C146" s="54" t="n">
        <x:v>11</x:v>
      </x:c>
      <x:c r="D146" s="54" t="n">
        <x:v>0</x:v>
      </x:c>
      <x:c r="E146" s="54" t="n">
        <x:v>70492</x:v>
      </x:c>
      <x:c r="F146" s="54" t="n">
        <x:v>70351</x:v>
      </x:c>
      <x:c r="G146" s="54" t="n">
        <x:v>29608</x:v>
      </x:c>
      <x:c r="H146" s="54" t="n">
        <x:v>13649</x:v>
      </x:c>
      <x:c r="I146" s="54" t="n">
        <x:v>6825</x:v>
      </x:c>
      <x:c r="J146" s="54" t="n">
        <x:v>93</x:v>
      </x:c>
      <x:c r="K146" s="53" t="n">
        <x:v>9.603284</x:v>
      </x:c>
      <x:c r="L146" s="53" t="n">
        <x:v>33.9509</x:v>
      </x:c>
      <x:c r="M146" s="53" t="n">
        <x:v>-118.3441</x:v>
      </x:c>
      <x:c r="N146" s="54" t="n">
        <x:v>350</x:v>
      </x:c>
      <x:c r="O146" s="54" t="n">
        <x:v>1</x:v>
      </x:c>
    </x:row>
    <x:row r="147">
      <x:c r="A147" s="54" t="n">
        <x:v>143</x:v>
      </x:c>
      <x:c r="B147" s="54" t="n">
        <x:v>3</x:v>
      </x:c>
      <x:c r="C147" s="54" t="n">
        <x:v>6</x:v>
      </x:c>
      <x:c r="D147" s="54" t="n">
        <x:v>0</x:v>
      </x:c>
      <x:c r="E147" s="54" t="n">
        <x:v>70649</x:v>
      </x:c>
      <x:c r="F147" s="54" t="n">
        <x:v>56208</x:v>
      </x:c>
      <x:c r="G147" s="54" t="n">
        <x:v>2810</x:v>
      </x:c>
      <x:c r="H147" s="54" t="n">
        <x:v>5891</x:v>
      </x:c>
      <x:c r="I147" s="54" t="n">
        <x:v>2651</x:v>
      </x:c>
      <x:c r="J147" s="54" t="n">
        <x:v>110</x:v>
      </x:c>
      <x:c r="K147" s="53" t="n">
        <x:v>10.033037</x:v>
      </x:c>
      <x:c r="L147" s="53" t="n">
        <x:v>32.7506</x:v>
      </x:c>
      <x:c r="M147" s="53" t="n">
        <x:v>-97.0915</x:v>
      </x:c>
      <x:c r="N147" s="54" t="n">
        <x:v>350</x:v>
      </x:c>
      <x:c r="O147" s="54" t="n">
        <x:v>0</x:v>
      </x:c>
    </x:row>
    <x:row r="148">
      <x:c r="A148" s="54" t="n">
        <x:v>144</x:v>
      </x:c>
      <x:c r="B148" s="54" t="n">
        <x:v>1</x:v>
      </x:c>
      <x:c r="C148" s="54" t="n">
        <x:v>1</x:v>
      </x:c>
      <x:c r="D148" s="54" t="n">
        <x:v>0</x:v>
      </x:c>
      <x:c r="E148" s="54" t="n">
        <x:v>68239</x:v>
      </x:c>
      <x:c r="F148" s="54" t="n">
        <x:v>57103</x:v>
      </x:c>
      <x:c r="G148" s="54" t="n">
        <x:v>23771</x:v>
      </x:c>
      <x:c r="H148" s="54" t="n">
        <x:v>20418</x:v>
      </x:c>
      <x:c r="I148" s="54" t="n">
        <x:v>11842</x:v>
      </x:c>
      <x:c r="J148" s="54" t="n">
        <x:v>56</x:v>
      </x:c>
      <x:c r="K148" s="53" t="n">
        <x:v>9.391018</x:v>
      </x:c>
      <x:c r="L148" s="53" t="n">
        <x:v>33.7565</x:v>
      </x:c>
      <x:c r="M148" s="53" t="n">
        <x:v>-84.4038</x:v>
      </x:c>
      <x:c r="N148" s="54" t="n">
        <x:v>250</x:v>
      </x:c>
      <x:c r="O148" s="54" t="n">
        <x:v>0</x:v>
      </x:c>
    </x:row>
    <x:row r="149">
      <x:c r="A149" s="54" t="n">
        <x:v>145</x:v>
      </x:c>
      <x:c r="B149" s="54" t="n">
        <x:v>5</x:v>
      </x:c>
      <x:c r="C149" s="54" t="n">
        <x:v>10</x:v>
      </x:c>
      <x:c r="D149" s="54" t="n">
        <x:v>0</x:v>
      </x:c>
      <x:c r="E149" s="54" t="n">
        <x:v>69045</x:v>
      </x:c>
      <x:c r="F149" s="54" t="n">
        <x:v>57835</x:v>
      </x:c>
      <x:c r="G149" s="54" t="n">
        <x:v>7224</x:v>
      </x:c>
      <x:c r="H149" s="54" t="n">
        <x:v>6247</x:v>
      </x:c>
      <x:c r="I149" s="54" t="n">
        <x:v>2811</x:v>
      </x:c>
      <x:c r="J149" s="54" t="n">
        <x:v>120</x:v>
      </x:c>
      <x:c r="K149" s="53" t="n">
        <x:v>8.632123</x:v>
      </x:c>
      <x:c r="L149" s="53" t="n">
        <x:v>39.0491</x:v>
      </x:c>
      <x:c r="M149" s="53" t="n">
        <x:v>-94.4871</x:v>
      </x:c>
      <x:c r="N149" s="54" t="n">
        <x:v>400</x:v>
      </x:c>
      <x:c r="O149" s="54" t="n">
        <x:v>0</x:v>
      </x:c>
    </x:row>
    <x:row r="150">
      <x:c r="A150" s="54" t="n">
        <x:v>146</x:v>
      </x:c>
      <x:c r="B150" s="54" t="n">
        <x:v>6</x:v>
      </x:c>
      <x:c r="C150" s="54" t="n">
        <x:v>11</x:v>
      </x:c>
      <x:c r="D150" s="54" t="n">
        <x:v>1</x:v>
      </x:c>
      <x:c r="E150" s="54" t="n">
        <x:v>70492</x:v>
      </x:c>
      <x:c r="F150" s="54" t="n">
        <x:v>60896</x:v>
      </x:c>
      <x:c r="G150" s="54" t="n">
        <x:v>26902</x:v>
      </x:c>
      <x:c r="H150" s="54" t="n">
        <x:v>15211</x:v>
      </x:c>
      <x:c r="I150" s="54" t="n">
        <x:v>7606</x:v>
      </x:c>
      <x:c r="J150" s="54" t="n">
        <x:v>117</x:v>
      </x:c>
      <x:c r="K150" s="53" t="n">
        <x:v>9.603284</x:v>
      </x:c>
      <x:c r="L150" s="53" t="n">
        <x:v>33.9509</x:v>
      </x:c>
      <x:c r="M150" s="53" t="n">
        <x:v>-118.3441</x:v>
      </x:c>
      <x:c r="N150" s="54" t="n">
        <x:v>350</x:v>
      </x:c>
      <x:c r="O150" s="54" t="n">
        <x:v>1</x:v>
      </x:c>
    </x:row>
    <x:row r="151">
      <x:c r="A151" s="54" t="n">
        <x:v>147</x:v>
      </x:c>
      <x:c r="B151" s="54" t="n">
        <x:v>1</x:v>
      </x:c>
      <x:c r="C151" s="54" t="n">
        <x:v>1</x:v>
      </x:c>
      <x:c r="D151" s="54" t="n">
        <x:v>0</x:v>
      </x:c>
      <x:c r="E151" s="54" t="n">
        <x:v>68239</x:v>
      </x:c>
      <x:c r="F151" s="54" t="n">
        <x:v>56383</x:v>
      </x:c>
      <x:c r="G151" s="54" t="n">
        <x:v>29589</x:v>
      </x:c>
      <x:c r="H151" s="54" t="n">
        <x:v>19172</x:v>
      </x:c>
      <x:c r="I151" s="54" t="n">
        <x:v>11120</x:v>
      </x:c>
      <x:c r="J151" s="54" t="n">
        <x:v>75</x:v>
      </x:c>
      <x:c r="K151" s="53" t="n">
        <x:v>9.391018</x:v>
      </x:c>
      <x:c r="L151" s="53" t="n">
        <x:v>33.7565</x:v>
      </x:c>
      <x:c r="M151" s="53" t="n">
        <x:v>-84.4038</x:v>
      </x:c>
      <x:c r="N151" s="54" t="n">
        <x:v>250</x:v>
      </x:c>
      <x:c r="O151" s="54" t="n">
        <x:v>0</x:v>
      </x:c>
    </x:row>
    <x:row r="152">
      <x:c r="A152" s="54" t="n">
        <x:v>148</x:v>
      </x:c>
      <x:c r="B152" s="54" t="n">
        <x:v>9</x:v>
      </x:c>
      <x:c r="C152" s="54" t="n">
        <x:v>17</x:v>
      </x:c>
      <x:c r="D152" s="54" t="n">
        <x:v>0</x:v>
      </x:c>
      <x:c r="E152" s="54" t="n">
        <x:v>68324</x:v>
      </x:c>
      <x:c r="F152" s="54" t="n">
        <x:v>68095</x:v>
      </x:c>
      <x:c r="G152" s="54" t="n">
        <x:v>33036</x:v>
      </x:c>
      <x:c r="H152" s="54" t="n">
        <x:v>34260</x:v>
      </x:c>
      <x:c r="I152" s="54" t="n">
        <x:v>20556</x:v>
      </x:c>
      <x:c r="J152" s="54" t="n">
        <x:v>87</x:v>
      </x:c>
      <x:c r="K152" s="53" t="n">
        <x:v>8.474327</x:v>
      </x:c>
      <x:c r="L152" s="53" t="n">
        <x:v>39.9047</x:v>
      </x:c>
      <x:c r="M152" s="53" t="n">
        <x:v>-75.1736</x:v>
      </x:c>
      <x:c r="N152" s="54" t="n">
        <x:v>250</x:v>
      </x:c>
      <x:c r="O152" s="54" t="n">
        <x:v>1</x:v>
      </x:c>
    </x:row>
    <x:row r="153">
      <x:c r="A153" s="54" t="n">
        <x:v>149</x:v>
      </x:c>
      <x:c r="B153" s="54" t="n">
        <x:v>7</x:v>
      </x:c>
      <x:c r="C153" s="54" t="n">
        <x:v>14</x:v>
      </x:c>
      <x:c r="D153" s="54" t="n">
        <x:v>0</x:v>
      </x:c>
      <x:c r="E153" s="54" t="n">
        <x:v>64478</x:v>
      </x:c>
      <x:c r="F153" s="54" t="n">
        <x:v>56819</x:v>
      </x:c>
      <x:c r="G153" s="54" t="n">
        <x:v>9215</x:v>
      </x:c>
      <x:c r="H153" s="54" t="n">
        <x:v>8920</x:v>
      </x:c>
      <x:c r="I153" s="54" t="n">
        <x:v>4014</x:v>
      </x:c>
      <x:c r="J153" s="54" t="n">
        <x:v>123</x:v>
      </x:c>
      <x:c r="K153" s="53" t="n">
        <x:v>8.69743</x:v>
      </x:c>
      <x:c r="L153" s="53" t="n">
        <x:v>25.9549</x:v>
      </x:c>
      <x:c r="M153" s="53" t="n">
        <x:v>-80.2383</x:v>
      </x:c>
      <x:c r="N153" s="54" t="n">
        <x:v>350</x:v>
      </x:c>
      <x:c r="O153" s="54" t="n">
        <x:v>0</x:v>
      </x:c>
    </x:row>
    <x:row r="154">
      <x:c r="A154" s="54" t="n">
        <x:v>150</x:v>
      </x:c>
      <x:c r="B154" s="54" t="n">
        <x:v>2</x:v>
      </x:c>
      <x:c r="C154" s="54" t="n">
        <x:v>3</x:v>
      </x:c>
      <x:c r="D154" s="54" t="n">
        <x:v>0</x:v>
      </x:c>
      <x:c r="E154" s="54" t="n">
        <x:v>64146</x:v>
      </x:c>
      <x:c r="F154" s="54" t="n">
        <x:v>58657</x:v>
      </x:c>
      <x:c r="G154" s="54" t="n">
        <x:v>19691</x:v>
      </x:c>
      <x:c r="H154" s="54" t="n">
        <x:v>10930</x:v>
      </x:c>
      <x:c r="I154" s="54" t="n">
        <x:v>7105</x:v>
      </x:c>
      <x:c r="J154" s="54" t="n">
        <x:v>102</x:v>
      </x:c>
      <x:c r="K154" s="53" t="n">
        <x:v>8.671598</x:v>
      </x:c>
      <x:c r="L154" s="53" t="n">
        <x:v>42.0889</x:v>
      </x:c>
      <x:c r="M154" s="53" t="n">
        <x:v>-71.2597</x:v>
      </x:c>
      <x:c r="N154" s="54" t="n">
        <x:v>250</x:v>
      </x:c>
      <x:c r="O154" s="54" t="n">
        <x:v>0</x:v>
      </x:c>
    </x:row>
    <x:row r="155">
      <x:c r="A155" s="54" t="n">
        <x:v>151</x:v>
      </x:c>
      <x:c r="B155" s="54" t="n">
        <x:v>8</x:v>
      </x:c>
      <x:c r="C155" s="54" t="n">
        <x:v>15</x:v>
      </x:c>
      <x:c r="D155" s="54" t="n">
        <x:v>0</x:v>
      </x:c>
      <x:c r="E155" s="54" t="n">
        <x:v>80663</x:v>
      </x:c>
      <x:c r="F155" s="54" t="n">
        <x:v>69857</x:v>
      </x:c>
      <x:c r="G155" s="54" t="n">
        <x:v>17651</x:v>
      </x:c>
      <x:c r="H155" s="54" t="n">
        <x:v>45386</x:v>
      </x:c>
      <x:c r="I155" s="54" t="n">
        <x:v>24962</x:v>
      </x:c>
      <x:c r="J155" s="54" t="n">
        <x:v>77</x:v>
      </x:c>
      <x:c r="K155" s="53" t="n">
        <x:v>10.438681</x:v>
      </x:c>
      <x:c r="L155" s="53" t="n">
        <x:v>40.807664</x:v>
      </x:c>
      <x:c r="M155" s="53" t="n">
        <x:v>-74.069833</x:v>
      </x:c>
      <x:c r="N155" s="54" t="n">
        <x:v>250</x:v>
      </x:c>
      <x:c r="O155" s="54" t="n">
        <x:v>0</x:v>
      </x:c>
    </x:row>
    <x:row r="156">
      <x:c r="A156" s="54" t="n">
        <x:v>152</x:v>
      </x:c>
      <x:c r="B156" s="54" t="n">
        <x:v>1</x:v>
      </x:c>
      <x:c r="C156" s="54" t="n">
        <x:v>1</x:v>
      </x:c>
      <x:c r="D156" s="54" t="n">
        <x:v>0</x:v>
      </x:c>
      <x:c r="E156" s="54" t="n">
        <x:v>68239</x:v>
      </x:c>
      <x:c r="F156" s="54" t="n">
        <x:v>62928</x:v>
      </x:c>
      <x:c r="G156" s="54" t="n">
        <x:v>27343</x:v>
      </x:c>
      <x:c r="H156" s="54" t="n">
        <x:v>26445</x:v>
      </x:c>
      <x:c r="I156" s="54" t="n">
        <x:v>15338</x:v>
      </x:c>
      <x:c r="J156" s="54" t="n">
        <x:v>66</x:v>
      </x:c>
      <x:c r="K156" s="53" t="n">
        <x:v>9.391018</x:v>
      </x:c>
      <x:c r="L156" s="53" t="n">
        <x:v>33.7565</x:v>
      </x:c>
      <x:c r="M156" s="53" t="n">
        <x:v>-84.4038</x:v>
      </x:c>
      <x:c r="N156" s="54" t="n">
        <x:v>250</x:v>
      </x:c>
      <x:c r="O156" s="54" t="n">
        <x:v>0</x:v>
      </x:c>
    </x:row>
    <x:row r="157">
      <x:c r="A157" s="54" t="n">
        <x:v>153</x:v>
      </x:c>
      <x:c r="B157" s="54" t="n">
        <x:v>8</x:v>
      </x:c>
      <x:c r="C157" s="54" t="n">
        <x:v>15</x:v>
      </x:c>
      <x:c r="D157" s="54" t="n">
        <x:v>0</x:v>
      </x:c>
      <x:c r="E157" s="54" t="n">
        <x:v>80663</x:v>
      </x:c>
      <x:c r="F157" s="54" t="n">
        <x:v>70269</x:v>
      </x:c>
      <x:c r="G157" s="54" t="n">
        <x:v>21794</x:v>
      </x:c>
      <x:c r="H157" s="54" t="n">
        <x:v>38933</x:v>
      </x:c>
      <x:c r="I157" s="54" t="n">
        <x:v>21413</x:v>
      </x:c>
      <x:c r="J157" s="54" t="n">
        <x:v>70</x:v>
      </x:c>
      <x:c r="K157" s="53" t="n">
        <x:v>10.438681</x:v>
      </x:c>
      <x:c r="L157" s="53" t="n">
        <x:v>40.807664</x:v>
      </x:c>
      <x:c r="M157" s="53" t="n">
        <x:v>-74.069833</x:v>
      </x:c>
      <x:c r="N157" s="54" t="n">
        <x:v>250</x:v>
      </x:c>
      <x:c r="O157" s="54" t="n">
        <x:v>0</x:v>
      </x:c>
    </x:row>
    <x:row r="158">
      <x:c r="A158" s="54" t="n">
        <x:v>154</x:v>
      </x:c>
      <x:c r="B158" s="54" t="n">
        <x:v>9</x:v>
      </x:c>
      <x:c r="C158" s="54" t="n">
        <x:v>17</x:v>
      </x:c>
      <x:c r="D158" s="54" t="n">
        <x:v>0</x:v>
      </x:c>
      <x:c r="E158" s="54" t="n">
        <x:v>68324</x:v>
      </x:c>
      <x:c r="F158" s="54" t="n">
        <x:v>55627</x:v>
      </x:c>
      <x:c r="G158" s="54" t="n">
        <x:v>25316</x:v>
      </x:c>
      <x:c r="H158" s="54" t="n">
        <x:v>20739</x:v>
      </x:c>
      <x:c r="I158" s="54" t="n">
        <x:v>12443</x:v>
      </x:c>
      <x:c r="J158" s="54" t="n">
        <x:v>70</x:v>
      </x:c>
      <x:c r="K158" s="53" t="n">
        <x:v>8.474327</x:v>
      </x:c>
      <x:c r="L158" s="53" t="n">
        <x:v>39.9047</x:v>
      </x:c>
      <x:c r="M158" s="53" t="n">
        <x:v>-75.1736</x:v>
      </x:c>
      <x:c r="N158" s="54" t="n">
        <x:v>250</x:v>
      </x:c>
      <x:c r="O158" s="54" t="n">
        <x:v>0</x:v>
      </x:c>
    </x:row>
    <x:row r="159">
      <x:c r="A159" s="54" t="n">
        <x:v>155</x:v>
      </x:c>
      <x:c r="B159" s="54" t="n">
        <x:v>8</x:v>
      </x:c>
      <x:c r="C159" s="54" t="n">
        <x:v>15</x:v>
      </x:c>
      <x:c r="D159" s="54" t="n">
        <x:v>0</x:v>
      </x:c>
      <x:c r="E159" s="54" t="n">
        <x:v>80663</x:v>
      </x:c>
      <x:c r="F159" s="54" t="n">
        <x:v>69731</x:v>
      </x:c>
      <x:c r="G159" s="54" t="n">
        <x:v>18080</x:v>
      </x:c>
      <x:c r="H159" s="54" t="n">
        <x:v>42459</x:v>
      </x:c>
      <x:c r="I159" s="54" t="n">
        <x:v>23352</x:v>
      </x:c>
      <x:c r="J159" s="54" t="n">
        <x:v>65</x:v>
      </x:c>
      <x:c r="K159" s="53" t="n">
        <x:v>10.438681</x:v>
      </x:c>
      <x:c r="L159" s="53" t="n">
        <x:v>40.807664</x:v>
      </x:c>
      <x:c r="M159" s="53" t="n">
        <x:v>-74.069833</x:v>
      </x:c>
      <x:c r="N159" s="54" t="n">
        <x:v>250</x:v>
      </x:c>
      <x:c r="O159" s="54" t="n">
        <x:v>0</x:v>
      </x:c>
    </x:row>
    <x:row r="160">
      <x:c r="A160" s="54" t="n">
        <x:v>156</x:v>
      </x:c>
      <x:c r="B160" s="54" t="n">
        <x:v>3</x:v>
      </x:c>
      <x:c r="C160" s="54" t="n">
        <x:v>6</x:v>
      </x:c>
      <x:c r="D160" s="54" t="n">
        <x:v>0</x:v>
      </x:c>
      <x:c r="E160" s="54" t="n">
        <x:v>70649</x:v>
      </x:c>
      <x:c r="F160" s="54" t="n">
        <x:v>59166</x:v>
      </x:c>
      <x:c r="G160" s="54" t="n">
        <x:v>10545</x:v>
      </x:c>
      <x:c r="H160" s="54" t="n">
        <x:v>8022</x:v>
      </x:c>
      <x:c r="I160" s="54" t="n">
        <x:v>3610</x:v>
      </x:c>
      <x:c r="J160" s="54" t="n">
        <x:v>100</x:v>
      </x:c>
      <x:c r="K160" s="53" t="n">
        <x:v>10.033037</x:v>
      </x:c>
      <x:c r="L160" s="53" t="n">
        <x:v>32.7506</x:v>
      </x:c>
      <x:c r="M160" s="53" t="n">
        <x:v>-97.0915</x:v>
      </x:c>
      <x:c r="N160" s="54" t="n">
        <x:v>350</x:v>
      </x:c>
      <x:c r="O160" s="54" t="n">
        <x:v>0</x:v>
      </x:c>
    </x:row>
    <x:row r="161">
      <x:c r="A161" s="54" t="n">
        <x:v>157</x:v>
      </x:c>
      <x:c r="B161" s="54" t="n">
        <x:v>5</x:v>
      </x:c>
      <x:c r="C161" s="54" t="n">
        <x:v>10</x:v>
      </x:c>
      <x:c r="D161" s="54" t="n">
        <x:v>0</x:v>
      </x:c>
      <x:c r="E161" s="54" t="n">
        <x:v>69045</x:v>
      </x:c>
      <x:c r="F161" s="54" t="n">
        <x:v>56213</x:v>
      </x:c>
      <x:c r="G161" s="54" t="n">
        <x:v>7464</x:v>
      </x:c>
      <x:c r="H161" s="54" t="n">
        <x:v>6098</x:v>
      </x:c>
      <x:c r="I161" s="54" t="n">
        <x:v>2744</x:v>
      </x:c>
      <x:c r="J161" s="54" t="n">
        <x:v>122</x:v>
      </x:c>
      <x:c r="K161" s="53" t="n">
        <x:v>8.632123</x:v>
      </x:c>
      <x:c r="L161" s="53" t="n">
        <x:v>39.0491</x:v>
      </x:c>
      <x:c r="M161" s="53" t="n">
        <x:v>-94.4871</x:v>
      </x:c>
      <x:c r="N161" s="54" t="n">
        <x:v>400</x:v>
      </x:c>
      <x:c r="O161" s="54" t="n">
        <x:v>0</x:v>
      </x:c>
    </x:row>
    <x:row r="162">
      <x:c r="A162" s="54" t="n">
        <x:v>158</x:v>
      </x:c>
      <x:c r="B162" s="54" t="n">
        <x:v>3</x:v>
      </x:c>
      <x:c r="C162" s="54" t="n">
        <x:v>6</x:v>
      </x:c>
      <x:c r="D162" s="54" t="n">
        <x:v>0</x:v>
      </x:c>
      <x:c r="E162" s="54" t="n">
        <x:v>70649</x:v>
      </x:c>
      <x:c r="F162" s="54" t="n">
        <x:v>65712</x:v>
      </x:c>
      <x:c r="G162" s="54" t="n">
        <x:v>8647</x:v>
      </x:c>
      <x:c r="H162" s="54" t="n">
        <x:v>10441</x:v>
      </x:c>
      <x:c r="I162" s="54" t="n">
        <x:v>4698</x:v>
      </x:c>
      <x:c r="J162" s="54" t="n">
        <x:v>101</x:v>
      </x:c>
      <x:c r="K162" s="53" t="n">
        <x:v>10.033037</x:v>
      </x:c>
      <x:c r="L162" s="53" t="n">
        <x:v>32.7506</x:v>
      </x:c>
      <x:c r="M162" s="53" t="n">
        <x:v>-97.0915</x:v>
      </x:c>
      <x:c r="N162" s="54" t="n">
        <x:v>350</x:v>
      </x:c>
      <x:c r="O162" s="54" t="n">
        <x:v>0</x:v>
      </x:c>
    </x:row>
    <x:row r="163">
      <x:c r="A163" s="54" t="n">
        <x:v>159</x:v>
      </x:c>
      <x:c r="B163" s="54" t="n">
        <x:v>9</x:v>
      </x:c>
      <x:c r="C163" s="54" t="n">
        <x:v>17</x:v>
      </x:c>
      <x:c r="D163" s="54" t="n">
        <x:v>2</x:v>
      </x:c>
      <x:c r="E163" s="54" t="n">
        <x:v>68324</x:v>
      </x:c>
      <x:c r="F163" s="54" t="n">
        <x:v>60187</x:v>
      </x:c>
      <x:c r="G163" s="54" t="n">
        <x:v>27913</x:v>
      </x:c>
      <x:c r="H163" s="54" t="n">
        <x:v>24224</x:v>
      </x:c>
      <x:c r="I163" s="54" t="n">
        <x:v>14534</x:v>
      </x:c>
      <x:c r="J163" s="54" t="n">
        <x:v>84</x:v>
      </x:c>
      <x:c r="K163" s="53" t="n">
        <x:v>8.474327</x:v>
      </x:c>
      <x:c r="L163" s="53" t="n">
        <x:v>39.9047</x:v>
      </x:c>
      <x:c r="M163" s="53" t="n">
        <x:v>-75.1736</x:v>
      </x:c>
      <x:c r="N163" s="54" t="n">
        <x:v>250</x:v>
      </x:c>
      <x:c r="O163" s="54" t="n">
        <x:v>1</x:v>
      </x:c>
    </x:row>
    <x:row r="164">
      <x:c r="A164" s="54" t="n">
        <x:v>160</x:v>
      </x:c>
      <x:c r="B164" s="54" t="n">
        <x:v>8</x:v>
      </x:c>
      <x:c r="C164" s="54" t="n">
        <x:v>15</x:v>
      </x:c>
      <x:c r="D164" s="54" t="n">
        <x:v>1</x:v>
      </x:c>
      <x:c r="E164" s="54" t="n">
        <x:v>80663</x:v>
      </x:c>
      <x:c r="F164" s="54" t="n">
        <x:v>71765</x:v>
      </x:c>
      <x:c r="G164" s="54" t="n">
        <x:v>19259</x:v>
      </x:c>
      <x:c r="H164" s="54" t="n">
        <x:v>43557</x:v>
      </x:c>
      <x:c r="I164" s="54" t="n">
        <x:v>23956</x:v>
      </x:c>
      <x:c r="J164" s="54" t="n">
        <x:v>67</x:v>
      </x:c>
      <x:c r="K164" s="53" t="n">
        <x:v>10.438681</x:v>
      </x:c>
      <x:c r="L164" s="53" t="n">
        <x:v>40.807664</x:v>
      </x:c>
      <x:c r="M164" s="53" t="n">
        <x:v>-74.069833</x:v>
      </x:c>
      <x:c r="N164" s="54" t="n">
        <x:v>250</x:v>
      </x:c>
      <x:c r="O164" s="54" t="n">
        <x:v>0</x:v>
      </x:c>
    </x:row>
    <x:row r="165">
      <x:c r="A165" s="54" t="n">
        <x:v>161</x:v>
      </x:c>
      <x:c r="B165" s="54" t="n">
        <x:v>1</x:v>
      </x:c>
      <x:c r="C165" s="54" t="n">
        <x:v>1</x:v>
      </x:c>
      <x:c r="D165" s="54" t="n">
        <x:v>0</x:v>
      </x:c>
      <x:c r="E165" s="54" t="n">
        <x:v>68239</x:v>
      </x:c>
      <x:c r="F165" s="54" t="n">
        <x:v>63175</x:v>
      </x:c>
      <x:c r="G165" s="54" t="n">
        <x:v>29319</x:v>
      </x:c>
      <x:c r="H165" s="54" t="n">
        <x:v>29246</x:v>
      </x:c>
      <x:c r="I165" s="54" t="n">
        <x:v>16963</x:v>
      </x:c>
      <x:c r="J165" s="54" t="n">
        <x:v>69</x:v>
      </x:c>
      <x:c r="K165" s="53" t="n">
        <x:v>9.391018</x:v>
      </x:c>
      <x:c r="L165" s="53" t="n">
        <x:v>33.7565</x:v>
      </x:c>
      <x:c r="M165" s="53" t="n">
        <x:v>-84.4038</x:v>
      </x:c>
      <x:c r="N165" s="54" t="n">
        <x:v>250</x:v>
      </x:c>
      <x:c r="O165" s="54" t="n">
        <x:v>1</x:v>
      </x:c>
    </x:row>
    <x:row r="166">
      <x:c r="A166" s="54" t="n">
        <x:v>162</x:v>
      </x:c>
      <x:c r="B166" s="54" t="n">
        <x:v>9</x:v>
      </x:c>
      <x:c r="C166" s="54" t="n">
        <x:v>17</x:v>
      </x:c>
      <x:c r="D166" s="54" t="n">
        <x:v>2</x:v>
      </x:c>
      <x:c r="E166" s="54" t="n">
        <x:v>68324</x:v>
      </x:c>
      <x:c r="F166" s="54" t="n">
        <x:v>66193</x:v>
      </x:c>
      <x:c r="G166" s="54" t="n">
        <x:v>31035</x:v>
      </x:c>
      <x:c r="H166" s="54" t="n">
        <x:v>34559</x:v>
      </x:c>
      <x:c r="I166" s="54" t="n">
        <x:v>20735</x:v>
      </x:c>
      <x:c r="J166" s="54" t="n">
        <x:v>101</x:v>
      </x:c>
      <x:c r="K166" s="53" t="n">
        <x:v>8.474327</x:v>
      </x:c>
      <x:c r="L166" s="53" t="n">
        <x:v>39.9047</x:v>
      </x:c>
      <x:c r="M166" s="53" t="n">
        <x:v>-75.1736</x:v>
      </x:c>
      <x:c r="N166" s="54" t="n">
        <x:v>250</x:v>
      </x:c>
      <x:c r="O166" s="54" t="n">
        <x:v>1</x:v>
      </x:c>
    </x:row>
    <x:row r="167">
      <x:c r="A167" s="54" t="n">
        <x:v>163</x:v>
      </x:c>
      <x:c r="B167" s="54" t="n">
        <x:v>7</x:v>
      </x:c>
      <x:c r="C167" s="54" t="n">
        <x:v>14</x:v>
      </x:c>
      <x:c r="D167" s="54" t="n">
        <x:v>0</x:v>
      </x:c>
      <x:c r="E167" s="54" t="n">
        <x:v>64478</x:v>
      </x:c>
      <x:c r="F167" s="54" t="n">
        <x:v>51812</x:v>
      </x:c>
      <x:c r="G167" s="54" t="n">
        <x:v>10128</x:v>
      </x:c>
      <x:c r="H167" s="54" t="n">
        <x:v>4145</x:v>
      </x:c>
      <x:c r="I167" s="54" t="n">
        <x:v>1865</x:v>
      </x:c>
      <x:c r="J167" s="54" t="n">
        <x:v>110</x:v>
      </x:c>
      <x:c r="K167" s="53" t="n">
        <x:v>8.69743</x:v>
      </x:c>
      <x:c r="L167" s="53" t="n">
        <x:v>25.9549</x:v>
      </x:c>
      <x:c r="M167" s="53" t="n">
        <x:v>-80.2383</x:v>
      </x:c>
      <x:c r="N167" s="54" t="n">
        <x:v>350</x:v>
      </x:c>
      <x:c r="O167" s="54" t="n">
        <x:v>0</x:v>
      </x:c>
    </x:row>
    <x:row r="168">
      <x:c r="A168" s="54" t="n">
        <x:v>164</x:v>
      </x:c>
      <x:c r="B168" s="54" t="n">
        <x:v>10</x:v>
      </x:c>
      <x:c r="C168" s="54" t="n">
        <x:v>19</x:v>
      </x:c>
      <x:c r="D168" s="54" t="n">
        <x:v>1</x:v>
      </x:c>
      <x:c r="E168" s="54" t="n">
        <x:v>68827</x:v>
      </x:c>
      <x:c r="F168" s="54" t="n">
        <x:v>63404</x:v>
      </x:c>
      <x:c r="G168" s="54" t="n">
        <x:v>35193</x:v>
      </x:c>
      <x:c r="H168" s="54" t="n">
        <x:v>23652</x:v>
      </x:c>
      <x:c r="I168" s="54" t="n">
        <x:v>15374</x:v>
      </x:c>
      <x:c r="J168" s="54" t="n">
        <x:v>105</x:v>
      </x:c>
      <x:c r="K168" s="53" t="n">
        <x:v>8.807888</x:v>
      </x:c>
      <x:c r="L168" s="53" t="n">
        <x:v>37.403468</x:v>
      </x:c>
      <x:c r="M168" s="53" t="n">
        <x:v>-121.974908</x:v>
      </x:c>
      <x:c r="N168" s="54" t="n">
        <x:v>250</x:v>
      </x:c>
      <x:c r="O168" s="54" t="n">
        <x:v>1</x:v>
      </x:c>
    </x:row>
    <x:row r="169">
      <x:c r="A169" s="54" t="n">
        <x:v>165</x:v>
      </x:c>
      <x:c r="B169" s="54" t="n">
        <x:v>11</x:v>
      </x:c>
      <x:c r="C169" s="54" t="n">
        <x:v>21</x:v>
      </x:c>
      <x:c r="D169" s="54" t="n">
        <x:v>0</x:v>
      </x:c>
      <x:c r="E169" s="54" t="n">
        <x:v>66925</x:v>
      </x:c>
      <x:c r="F169" s="54" t="n">
        <x:v>59389</x:v>
      </x:c>
      <x:c r="G169" s="54" t="n">
        <x:v>30115</x:v>
      </x:c>
      <x:c r="H169" s="54" t="n">
        <x:v>33672</x:v>
      </x:c>
      <x:c r="I169" s="54" t="n">
        <x:v>18520</x:v>
      </x:c>
      <x:c r="J169" s="54" t="n">
        <x:v>79</x:v>
      </x:c>
      <x:c r="K169" s="53" t="n">
        <x:v>8.408439</x:v>
      </x:c>
      <x:c r="L169" s="53" t="n">
        <x:v>47.5917</x:v>
      </x:c>
      <x:c r="M169" s="53" t="n">
        <x:v>-122.3272</x:v>
      </x:c>
      <x:c r="N169" s="54" t="n">
        <x:v>250</x:v>
      </x:c>
      <x:c r="O169" s="54" t="n">
        <x:v>1</x:v>
      </x:c>
    </x:row>
    <x:row r="170">
      <x:c r="A170" s="54" t="n">
        <x:v>166</x:v>
      </x:c>
      <x:c r="B170" s="54" t="n">
        <x:v>6</x:v>
      </x:c>
      <x:c r="C170" s="54" t="n">
        <x:v>11</x:v>
      </x:c>
      <x:c r="D170" s="54" t="n">
        <x:v>0</x:v>
      </x:c>
      <x:c r="E170" s="54" t="n">
        <x:v>70492</x:v>
      </x:c>
      <x:c r="F170" s="54" t="n">
        <x:v>67603</x:v>
      </x:c>
      <x:c r="G170" s="54" t="n">
        <x:v>30771</x:v>
      </x:c>
      <x:c r="H170" s="54" t="n">
        <x:v>17936</x:v>
      </x:c>
      <x:c r="I170" s="54" t="n">
        <x:v>8968</x:v>
      </x:c>
      <x:c r="J170" s="54" t="n">
        <x:v>98</x:v>
      </x:c>
      <x:c r="K170" s="53" t="n">
        <x:v>9.603284</x:v>
      </x:c>
      <x:c r="L170" s="53" t="n">
        <x:v>33.9509</x:v>
      </x:c>
      <x:c r="M170" s="53" t="n">
        <x:v>-118.3441</x:v>
      </x:c>
      <x:c r="N170" s="54" t="n">
        <x:v>350</x:v>
      </x:c>
      <x:c r="O170" s="54" t="n">
        <x:v>1</x:v>
      </x:c>
    </x:row>
    <x:row r="171">
      <x:c r="A171" s="54" t="n">
        <x:v>167</x:v>
      </x:c>
      <x:c r="B171" s="54" t="n">
        <x:v>8</x:v>
      </x:c>
      <x:c r="C171" s="54" t="n">
        <x:v>15</x:v>
      </x:c>
      <x:c r="D171" s="54" t="n">
        <x:v>0</x:v>
      </x:c>
      <x:c r="E171" s="54" t="n">
        <x:v>80663</x:v>
      </x:c>
      <x:c r="F171" s="54" t="n">
        <x:v>68008</x:v>
      </x:c>
      <x:c r="G171" s="54" t="n">
        <x:v>20118</x:v>
      </x:c>
      <x:c r="H171" s="54" t="n">
        <x:v>37699</x:v>
      </x:c>
      <x:c r="I171" s="54" t="n">
        <x:v>20734</x:v>
      </x:c>
      <x:c r="J171" s="54" t="n">
        <x:v>61</x:v>
      </x:c>
      <x:c r="K171" s="53" t="n">
        <x:v>10.438681</x:v>
      </x:c>
      <x:c r="L171" s="53" t="n">
        <x:v>40.807664</x:v>
      </x:c>
      <x:c r="M171" s="53" t="n">
        <x:v>-74.069833</x:v>
      </x:c>
      <x:c r="N171" s="54" t="n">
        <x:v>250</x:v>
      </x:c>
      <x:c r="O171" s="54" t="n">
        <x:v>0</x:v>
      </x:c>
    </x:row>
    <x:row r="172">
      <x:c r="A172" s="54" t="n">
        <x:v>168</x:v>
      </x:c>
      <x:c r="B172" s="54" t="n">
        <x:v>3</x:v>
      </x:c>
      <x:c r="C172" s="54" t="n">
        <x:v>6</x:v>
      </x:c>
      <x:c r="D172" s="54" t="n">
        <x:v>0</x:v>
      </x:c>
      <x:c r="E172" s="54" t="n">
        <x:v>70649</x:v>
      </x:c>
      <x:c r="F172" s="54" t="n">
        <x:v>55159</x:v>
      </x:c>
      <x:c r="G172" s="54" t="n">
        <x:v>9983</x:v>
      </x:c>
      <x:c r="H172" s="54" t="n">
        <x:v>9071</x:v>
      </x:c>
      <x:c r="I172" s="54" t="n">
        <x:v>4082</x:v>
      </x:c>
      <x:c r="J172" s="54" t="n">
        <x:v>111</x:v>
      </x:c>
      <x:c r="K172" s="53" t="n">
        <x:v>10.033037</x:v>
      </x:c>
      <x:c r="L172" s="53" t="n">
        <x:v>32.7506</x:v>
      </x:c>
      <x:c r="M172" s="53" t="n">
        <x:v>-97.0915</x:v>
      </x:c>
      <x:c r="N172" s="54" t="n">
        <x:v>350</x:v>
      </x:c>
      <x:c r="O172" s="54" t="n">
        <x:v>0</x:v>
      </x:c>
    </x:row>
    <x:row r="173">
      <x:c r="A173" s="54" t="n">
        <x:v>169</x:v>
      </x:c>
      <x:c r="B173" s="54" t="n">
        <x:v>1</x:v>
      </x:c>
      <x:c r="C173" s="54" t="n">
        <x:v>1</x:v>
      </x:c>
      <x:c r="D173" s="54" t="n">
        <x:v>0</x:v>
      </x:c>
      <x:c r="E173" s="54" t="n">
        <x:v>68239</x:v>
      </x:c>
      <x:c r="F173" s="54" t="n">
        <x:v>58437</x:v>
      </x:c>
      <x:c r="G173" s="54" t="n">
        <x:v>30667</x:v>
      </x:c>
      <x:c r="H173" s="54" t="n">
        <x:v>22183</x:v>
      </x:c>
      <x:c r="I173" s="54" t="n">
        <x:v>12866</x:v>
      </x:c>
      <x:c r="J173" s="54" t="n">
        <x:v>80</x:v>
      </x:c>
      <x:c r="K173" s="53" t="n">
        <x:v>9.391018</x:v>
      </x:c>
      <x:c r="L173" s="53" t="n">
        <x:v>33.7565</x:v>
      </x:c>
      <x:c r="M173" s="53" t="n">
        <x:v>-84.4038</x:v>
      </x:c>
      <x:c r="N173" s="54" t="n">
        <x:v>250</x:v>
      </x:c>
      <x:c r="O173" s="54" t="n">
        <x:v>1</x:v>
      </x:c>
    </x:row>
    <x:row r="174">
      <x:c r="A174" s="54" t="n">
        <x:v>170</x:v>
      </x:c>
      <x:c r="B174" s="54" t="n">
        <x:v>10</x:v>
      </x:c>
      <x:c r="C174" s="54" t="n">
        <x:v>19</x:v>
      </x:c>
      <x:c r="D174" s="54" t="n">
        <x:v>1</x:v>
      </x:c>
      <x:c r="E174" s="54" t="n">
        <x:v>68827</x:v>
      </x:c>
      <x:c r="F174" s="54" t="n">
        <x:v>47166</x:v>
      </x:c>
      <x:c r="G174" s="54" t="n">
        <x:v>23310</x:v>
      </x:c>
      <x:c r="H174" s="54" t="n">
        <x:v>16058</x:v>
      </x:c>
      <x:c r="I174" s="54" t="n">
        <x:v>10438</x:v>
      </x:c>
      <x:c r="J174" s="54" t="n">
        <x:v>69</x:v>
      </x:c>
      <x:c r="K174" s="53" t="n">
        <x:v>8.807888</x:v>
      </x:c>
      <x:c r="L174" s="53" t="n">
        <x:v>37.403468</x:v>
      </x:c>
      <x:c r="M174" s="53" t="n">
        <x:v>-121.974908</x:v>
      </x:c>
      <x:c r="N174" s="54" t="n">
        <x:v>250</x:v>
      </x:c>
      <x:c r="O174" s="54" t="n">
        <x:v>0</x:v>
      </x:c>
    </x:row>
    <x:row r="175">
      <x:c r="A175" s="54" t="n">
        <x:v>171</x:v>
      </x:c>
      <x:c r="B175" s="54" t="n">
        <x:v>11</x:v>
      </x:c>
      <x:c r="C175" s="54" t="n">
        <x:v>21</x:v>
      </x:c>
      <x:c r="D175" s="54" t="n">
        <x:v>0</x:v>
      </x:c>
      <x:c r="E175" s="54" t="n">
        <x:v>66925</x:v>
      </x:c>
      <x:c r="F175" s="54" t="n">
        <x:v>54781</x:v>
      </x:c>
      <x:c r="G175" s="54" t="n">
        <x:v>27816</x:v>
      </x:c>
      <x:c r="H175" s="54" t="n">
        <x:v>33560</x:v>
      </x:c>
      <x:c r="I175" s="54" t="n">
        <x:v>18458</x:v>
      </x:c>
      <x:c r="J175" s="54" t="n">
        <x:v>65</x:v>
      </x:c>
      <x:c r="K175" s="53" t="n">
        <x:v>8.408439</x:v>
      </x:c>
      <x:c r="L175" s="53" t="n">
        <x:v>47.5917</x:v>
      </x:c>
      <x:c r="M175" s="53" t="n">
        <x:v>-122.3272</x:v>
      </x:c>
      <x:c r="N175" s="54" t="n">
        <x:v>250</x:v>
      </x:c>
      <x:c r="O175" s="54" t="n">
        <x:v>1</x:v>
      </x:c>
    </x:row>
    <x:row r="176">
      <x:c r="A176" s="54" t="n">
        <x:v>172</x:v>
      </x:c>
      <x:c r="B176" s="54" t="n">
        <x:v>3</x:v>
      </x:c>
      <x:c r="C176" s="54" t="n">
        <x:v>6</x:v>
      </x:c>
      <x:c r="D176" s="54" t="n">
        <x:v>1</x:v>
      </x:c>
      <x:c r="E176" s="54" t="n">
        <x:v>70649</x:v>
      </x:c>
      <x:c r="F176" s="54" t="n">
        <x:v>61937</x:v>
      </x:c>
      <x:c r="G176" s="54" t="n">
        <x:v>7676</x:v>
      </x:c>
      <x:c r="H176" s="54" t="n">
        <x:v>12575</x:v>
      </x:c>
      <x:c r="I176" s="54" t="n">
        <x:v>5659</x:v>
      </x:c>
      <x:c r="J176" s="54" t="n">
        <x:v>110</x:v>
      </x:c>
      <x:c r="K176" s="53" t="n">
        <x:v>10.033037</x:v>
      </x:c>
      <x:c r="L176" s="53" t="n">
        <x:v>32.7506</x:v>
      </x:c>
      <x:c r="M176" s="53" t="n">
        <x:v>-97.0915</x:v>
      </x:c>
      <x:c r="N176" s="54" t="n">
        <x:v>350</x:v>
      </x:c>
      <x:c r="O176" s="54" t="n">
        <x:v>0</x:v>
      </x:c>
    </x:row>
    <x:row r="177">
      <x:c r="A177" s="54" t="n">
        <x:v>173</x:v>
      </x:c>
      <x:c r="B177" s="54" t="n">
        <x:v>2</x:v>
      </x:c>
      <x:c r="C177" s="54" t="n">
        <x:v>4</x:v>
      </x:c>
      <x:c r="D177" s="54" t="n">
        <x:v>0</x:v>
      </x:c>
      <x:c r="E177" s="54" t="n">
        <x:v>64146</x:v>
      </x:c>
      <x:c r="F177" s="54" t="n">
        <x:v>52030</x:v>
      </x:c>
      <x:c r="G177" s="54" t="n">
        <x:v>12149</x:v>
      </x:c>
      <x:c r="H177" s="54" t="n">
        <x:v>17473</x:v>
      </x:c>
      <x:c r="I177" s="54" t="n">
        <x:v>6116</x:v>
      </x:c>
      <x:c r="J177" s="54" t="n">
        <x:v>95</x:v>
      </x:c>
      <x:c r="K177" s="53" t="n">
        <x:v>8.671598</x:v>
      </x:c>
      <x:c r="L177" s="53" t="n">
        <x:v>42.0916</x:v>
      </x:c>
      <x:c r="M177" s="53" t="n">
        <x:v>-71.2648</x:v>
      </x:c>
      <x:c r="N177" s="54" t="n">
        <x:v>300</x:v>
      </x:c>
      <x:c r="O177" s="54" t="n">
        <x:v>0</x:v>
      </x:c>
    </x:row>
    <x:row r="178">
      <x:c r="A178" s="54" t="n">
        <x:v>174</x:v>
      </x:c>
      <x:c r="B178" s="54" t="n">
        <x:v>10</x:v>
      </x:c>
      <x:c r="C178" s="54" t="n">
        <x:v>19</x:v>
      </x:c>
      <x:c r="D178" s="54" t="n">
        <x:v>2</x:v>
      </x:c>
      <x:c r="E178" s="54" t="n">
        <x:v>68827</x:v>
      </x:c>
      <x:c r="F178" s="54" t="n">
        <x:v>64987</x:v>
      </x:c>
      <x:c r="G178" s="54" t="n">
        <x:v>34176</x:v>
      </x:c>
      <x:c r="H178" s="54" t="n">
        <x:v>24942</x:v>
      </x:c>
      <x:c r="I178" s="54" t="n">
        <x:v>16212</x:v>
      </x:c>
      <x:c r="J178" s="54" t="n">
        <x:v>89</x:v>
      </x:c>
      <x:c r="K178" s="53" t="n">
        <x:v>8.807888</x:v>
      </x:c>
      <x:c r="L178" s="53" t="n">
        <x:v>37.403468</x:v>
      </x:c>
      <x:c r="M178" s="53" t="n">
        <x:v>-121.974908</x:v>
      </x:c>
      <x:c r="N178" s="54" t="n">
        <x:v>250</x:v>
      </x:c>
      <x:c r="O178" s="54" t="n">
        <x:v>1</x:v>
      </x:c>
    </x:row>
    <x:row r="179">
      <x:c r="A179" s="54" t="n">
        <x:v>175</x:v>
      </x:c>
      <x:c r="B179" s="54" t="n">
        <x:v>3</x:v>
      </x:c>
      <x:c r="C179" s="54" t="n">
        <x:v>6</x:v>
      </x:c>
      <x:c r="D179" s="54" t="n">
        <x:v>1</x:v>
      </x:c>
      <x:c r="E179" s="54" t="n">
        <x:v>70649</x:v>
      </x:c>
      <x:c r="F179" s="54" t="n">
        <x:v>58568</x:v>
      </x:c>
      <x:c r="G179" s="54" t="n">
        <x:v>7294</x:v>
      </x:c>
      <x:c r="H179" s="54" t="n">
        <x:v>9665</x:v>
      </x:c>
      <x:c r="I179" s="54" t="n">
        <x:v>4349</x:v>
      </x:c>
      <x:c r="J179" s="54" t="n">
        <x:v>95</x:v>
      </x:c>
      <x:c r="K179" s="53" t="n">
        <x:v>10.033037</x:v>
      </x:c>
      <x:c r="L179" s="53" t="n">
        <x:v>32.7506</x:v>
      </x:c>
      <x:c r="M179" s="53" t="n">
        <x:v>-97.0915</x:v>
      </x:c>
      <x:c r="N179" s="54" t="n">
        <x:v>350</x:v>
      </x:c>
      <x:c r="O179" s="54" t="n">
        <x:v>0</x:v>
      </x:c>
    </x:row>
    <x:row r="180">
      <x:c r="A180" s="54" t="n">
        <x:v>176</x:v>
      </x:c>
      <x:c r="B180" s="54" t="n">
        <x:v>8</x:v>
      </x:c>
      <x:c r="C180" s="54" t="n">
        <x:v>15</x:v>
      </x:c>
      <x:c r="D180" s="54" t="n">
        <x:v>0</x:v>
      </x:c>
      <x:c r="E180" s="54" t="n">
        <x:v>80663</x:v>
      </x:c>
      <x:c r="F180" s="54" t="n">
        <x:v>74979</x:v>
      </x:c>
      <x:c r="G180" s="54" t="n">
        <x:v>21087</x:v>
      </x:c>
      <x:c r="H180" s="54" t="n">
        <x:v>46258</x:v>
      </x:c>
      <x:c r="I180" s="54" t="n">
        <x:v>25442</x:v>
      </x:c>
      <x:c r="J180" s="54" t="n">
        <x:v>69</x:v>
      </x:c>
      <x:c r="K180" s="53" t="n">
        <x:v>10.438681</x:v>
      </x:c>
      <x:c r="L180" s="53" t="n">
        <x:v>40.807664</x:v>
      </x:c>
      <x:c r="M180" s="53" t="n">
        <x:v>-74.069833</x:v>
      </x:c>
      <x:c r="N180" s="54" t="n">
        <x:v>250</x:v>
      </x:c>
      <x:c r="O180" s="54" t="n">
        <x:v>0</x:v>
      </x:c>
    </x:row>
    <x:row r="181">
      <x:c r="A181" s="54" t="n">
        <x:v>177</x:v>
      </x:c>
      <x:c r="B181" s="54" t="n">
        <x:v>5</x:v>
      </x:c>
      <x:c r="C181" s="54" t="n">
        <x:v>10</x:v>
      </x:c>
      <x:c r="D181" s="54" t="n">
        <x:v>0</x:v>
      </x:c>
      <x:c r="E181" s="54" t="n">
        <x:v>69045</x:v>
      </x:c>
      <x:c r="F181" s="54" t="n">
        <x:v>57574</x:v>
      </x:c>
      <x:c r="G181" s="54" t="n">
        <x:v>9565</x:v>
      </x:c>
      <x:c r="H181" s="54" t="n">
        <x:v>4606</x:v>
      </x:c>
      <x:c r="I181" s="54" t="n">
        <x:v>2073</x:v>
      </x:c>
      <x:c r="J181" s="54" t="n">
        <x:v>115</x:v>
      </x:c>
      <x:c r="K181" s="53" t="n">
        <x:v>8.632123</x:v>
      </x:c>
      <x:c r="L181" s="53" t="n">
        <x:v>39.0491</x:v>
      </x:c>
      <x:c r="M181" s="53" t="n">
        <x:v>-94.4871</x:v>
      </x:c>
      <x:c r="N181" s="54" t="n">
        <x:v>400</x:v>
      </x:c>
      <x:c r="O181" s="54" t="n">
        <x:v>0</x:v>
      </x:c>
    </x:row>
    <x:row r="182">
      <x:c r="A182" s="54" t="n">
        <x:v>178</x:v>
      </x:c>
      <x:c r="B182" s="54" t="n">
        <x:v>1</x:v>
      </x:c>
      <x:c r="C182" s="54" t="n">
        <x:v>1</x:v>
      </x:c>
      <x:c r="D182" s="54" t="n">
        <x:v>1</x:v>
      </x:c>
      <x:c r="E182" s="54" t="n">
        <x:v>68239</x:v>
      </x:c>
      <x:c r="F182" s="54" t="n">
        <x:v>63054</x:v>
      </x:c>
      <x:c r="G182" s="54" t="n">
        <x:v>26484</x:v>
      </x:c>
      <x:c r="H182" s="54" t="n">
        <x:v>27981</x:v>
      </x:c>
      <x:c r="I182" s="54" t="n">
        <x:v>16229</x:v>
      </x:c>
      <x:c r="J182" s="54" t="n">
        <x:v>66</x:v>
      </x:c>
      <x:c r="K182" s="53" t="n">
        <x:v>9.391018</x:v>
      </x:c>
      <x:c r="L182" s="53" t="n">
        <x:v>33.7565</x:v>
      </x:c>
      <x:c r="M182" s="53" t="n">
        <x:v>-84.4038</x:v>
      </x:c>
      <x:c r="N182" s="54" t="n">
        <x:v>250</x:v>
      </x:c>
      <x:c r="O182" s="54" t="n">
        <x:v>0</x:v>
      </x:c>
    </x:row>
    <x:row r="183">
      <x:c r="A183" s="54" t="n">
        <x:v>179</x:v>
      </x:c>
      <x:c r="B183" s="54" t="n">
        <x:v>5</x:v>
      </x:c>
      <x:c r="C183" s="54" t="n">
        <x:v>10</x:v>
      </x:c>
      <x:c r="D183" s="54" t="n">
        <x:v>0</x:v>
      </x:c>
      <x:c r="E183" s="54" t="n">
        <x:v>69045</x:v>
      </x:c>
      <x:c r="F183" s="54" t="n">
        <x:v>52172</x:v>
      </x:c>
      <x:c r="G183" s="54" t="n">
        <x:v>9145</x:v>
      </x:c>
      <x:c r="H183" s="54" t="n">
        <x:v>7137</x:v>
      </x:c>
      <x:c r="I183" s="54" t="n">
        <x:v>3212</x:v>
      </x:c>
      <x:c r="J183" s="54" t="n">
        <x:v>110</x:v>
      </x:c>
      <x:c r="K183" s="53" t="n">
        <x:v>8.632123</x:v>
      </x:c>
      <x:c r="L183" s="53" t="n">
        <x:v>39.0491</x:v>
      </x:c>
      <x:c r="M183" s="53" t="n">
        <x:v>-94.4871</x:v>
      </x:c>
      <x:c r="N183" s="54" t="n">
        <x:v>400</x:v>
      </x:c>
      <x:c r="O183" s="54" t="n">
        <x:v>0</x:v>
      </x:c>
    </x:row>
    <x:row r="184">
      <x:c r="A184" s="54" t="n">
        <x:v>180</x:v>
      </x:c>
      <x:c r="B184" s="54" t="n">
        <x:v>4</x:v>
      </x:c>
      <x:c r="C184" s="54" t="n">
        <x:v>7</x:v>
      </x:c>
      <x:c r="D184" s="54" t="n">
        <x:v>0</x:v>
      </x:c>
      <x:c r="E184" s="54" t="n">
        <x:v>68777</x:v>
      </x:c>
      <x:c r="F184" s="54" t="n">
        <x:v>52089</x:v>
      </x:c>
      <x:c r="G184" s="54" t="n">
        <x:v>17591</x:v>
      </x:c>
      <x:c r="H184" s="54" t="n">
        <x:v>20705</x:v>
      </x:c>
      <x:c r="I184" s="54" t="n">
        <x:v>12423</x:v>
      </x:c>
      <x:c r="J184" s="54" t="n">
        <x:v>76</x:v>
      </x:c>
      <x:c r="K184" s="53" t="n">
        <x:v>9.092387</x:v>
      </x:c>
      <x:c r="L184" s="53" t="n">
        <x:v>29.6852</x:v>
      </x:c>
      <x:c r="M184" s="53" t="n">
        <x:v>-95.407</x:v>
      </x:c>
      <x:c r="N184" s="54" t="n">
        <x:v>250</x:v>
      </x:c>
      <x:c r="O184" s="54" t="n">
        <x:v>0</x:v>
      </x:c>
    </x:row>
    <x:row r="185">
      <x:c r="A185" s="54" t="n">
        <x:v>181</x:v>
      </x:c>
      <x:c r="B185" s="54" t="n">
        <x:v>2</x:v>
      </x:c>
      <x:c r="C185" s="54" t="n">
        <x:v>3</x:v>
      </x:c>
      <x:c r="D185" s="54" t="n">
        <x:v>1</x:v>
      </x:c>
      <x:c r="E185" s="54" t="n">
        <x:v>64146</x:v>
      </x:c>
      <x:c r="F185" s="54" t="n">
        <x:v>58720</x:v>
      </x:c>
      <x:c r="G185" s="54" t="n">
        <x:v>16583</x:v>
      </x:c>
      <x:c r="H185" s="54" t="n">
        <x:v>14678</x:v>
      </x:c>
      <x:c r="I185" s="54" t="n">
        <x:v>9541</x:v>
      </x:c>
      <x:c r="J185" s="54" t="n">
        <x:v>119</x:v>
      </x:c>
      <x:c r="K185" s="53" t="n">
        <x:v>8.671598</x:v>
      </x:c>
      <x:c r="L185" s="53" t="n">
        <x:v>42.0889</x:v>
      </x:c>
      <x:c r="M185" s="53" t="n">
        <x:v>-71.2597</x:v>
      </x:c>
      <x:c r="N185" s="54" t="n">
        <x:v>250</x:v>
      </x:c>
      <x:c r="O185" s="54" t="n">
        <x:v>1</x:v>
      </x:c>
    </x:row>
    <x:row r="186">
      <x:c r="A186" s="54" t="n">
        <x:v>182</x:v>
      </x:c>
      <x:c r="B186" s="54" t="n">
        <x:v>9</x:v>
      </x:c>
      <x:c r="C186" s="54" t="n">
        <x:v>17</x:v>
      </x:c>
      <x:c r="D186" s="54" t="n">
        <x:v>1</x:v>
      </x:c>
      <x:c r="E186" s="54" t="n">
        <x:v>68324</x:v>
      </x:c>
      <x:c r="F186" s="54" t="n">
        <x:v>52937</x:v>
      </x:c>
      <x:c r="G186" s="54" t="n">
        <x:v>21758</x:v>
      </x:c>
      <x:c r="H186" s="54" t="n">
        <x:v>21575</x:v>
      </x:c>
      <x:c r="I186" s="54" t="n">
        <x:v>12945</x:v>
      </x:c>
      <x:c r="J186" s="54" t="n">
        <x:v>73</x:v>
      </x:c>
      <x:c r="K186" s="53" t="n">
        <x:v>8.474327</x:v>
      </x:c>
      <x:c r="L186" s="53" t="n">
        <x:v>39.9047</x:v>
      </x:c>
      <x:c r="M186" s="53" t="n">
        <x:v>-75.1736</x:v>
      </x:c>
      <x:c r="N186" s="54" t="n">
        <x:v>250</x:v>
      </x:c>
      <x:c r="O186" s="54" t="n">
        <x:v>0</x:v>
      </x:c>
    </x:row>
    <x:row r="187">
      <x:c r="A187" s="54" t="n">
        <x:v>183</x:v>
      </x:c>
      <x:c r="B187" s="54" t="n">
        <x:v>4</x:v>
      </x:c>
      <x:c r="C187" s="54" t="n">
        <x:v>7</x:v>
      </x:c>
      <x:c r="D187" s="54" t="n">
        <x:v>0</x:v>
      </x:c>
      <x:c r="E187" s="54" t="n">
        <x:v>68777</x:v>
      </x:c>
      <x:c r="F187" s="54" t="n">
        <x:v>59370</x:v>
      </x:c>
      <x:c r="G187" s="54" t="n">
        <x:v>18840</x:v>
      </x:c>
      <x:c r="H187" s="54" t="n">
        <x:v>19127</x:v>
      </x:c>
      <x:c r="I187" s="54" t="n">
        <x:v>11476</x:v>
      </x:c>
      <x:c r="J187" s="54" t="n">
        <x:v>77</x:v>
      </x:c>
      <x:c r="K187" s="53" t="n">
        <x:v>9.092387</x:v>
      </x:c>
      <x:c r="L187" s="53" t="n">
        <x:v>29.6852</x:v>
      </x:c>
      <x:c r="M187" s="53" t="n">
        <x:v>-95.407</x:v>
      </x:c>
      <x:c r="N187" s="54" t="n">
        <x:v>250</x:v>
      </x:c>
      <x:c r="O187" s="54" t="n">
        <x:v>0</x:v>
      </x:c>
    </x:row>
    <x:row r="188">
      <x:c r="A188" s="54" t="n">
        <x:v>184</x:v>
      </x:c>
      <x:c r="B188" s="54" t="n">
        <x:v>5</x:v>
      </x:c>
      <x:c r="C188" s="54" t="n">
        <x:v>10</x:v>
      </x:c>
      <x:c r="D188" s="54" t="n">
        <x:v>0</x:v>
      </x:c>
      <x:c r="E188" s="54" t="n">
        <x:v>69045</x:v>
      </x:c>
      <x:c r="F188" s="54" t="n">
        <x:v>62802</x:v>
      </x:c>
      <x:c r="G188" s="54" t="n">
        <x:v>3140</x:v>
      </x:c>
      <x:c r="H188" s="54" t="n">
        <x:v>9506</x:v>
      </x:c>
      <x:c r="I188" s="54" t="n">
        <x:v>4278</x:v>
      </x:c>
      <x:c r="J188" s="54" t="n">
        <x:v>117</x:v>
      </x:c>
      <x:c r="K188" s="53" t="n">
        <x:v>8.632123</x:v>
      </x:c>
      <x:c r="L188" s="53" t="n">
        <x:v>39.0491</x:v>
      </x:c>
      <x:c r="M188" s="53" t="n">
        <x:v>-94.4871</x:v>
      </x:c>
      <x:c r="N188" s="54" t="n">
        <x:v>400</x:v>
      </x:c>
      <x:c r="O188" s="54" t="n">
        <x:v>0</x:v>
      </x:c>
    </x:row>
    <x:row r="189">
      <x:c r="A189" s="54" t="n">
        <x:v>185</x:v>
      </x:c>
      <x:c r="B189" s="54" t="n">
        <x:v>6</x:v>
      </x:c>
      <x:c r="C189" s="54" t="n">
        <x:v>11</x:v>
      </x:c>
      <x:c r="D189" s="54" t="n">
        <x:v>1</x:v>
      </x:c>
      <x:c r="E189" s="54" t="n">
        <x:v>70492</x:v>
      </x:c>
      <x:c r="F189" s="54" t="n">
        <x:v>64860</x:v>
      </x:c>
      <x:c r="G189" s="54" t="n">
        <x:v>26373</x:v>
      </x:c>
      <x:c r="H189" s="54" t="n">
        <x:v>6497</x:v>
      </x:c>
      <x:c r="I189" s="54" t="n">
        <x:v>3249</x:v>
      </x:c>
      <x:c r="J189" s="54" t="n">
        <x:v>103</x:v>
      </x:c>
      <x:c r="K189" s="53" t="n">
        <x:v>9.603284</x:v>
      </x:c>
      <x:c r="L189" s="53" t="n">
        <x:v>33.9509</x:v>
      </x:c>
      <x:c r="M189" s="53" t="n">
        <x:v>-118.3441</x:v>
      </x:c>
      <x:c r="N189" s="54" t="n">
        <x:v>350</x:v>
      </x:c>
      <x:c r="O189" s="54" t="n">
        <x:v>0</x:v>
      </x:c>
    </x:row>
    <x:row r="190">
      <x:c r="A190" s="54" t="n">
        <x:v>186</x:v>
      </x:c>
      <x:c r="B190" s="54" t="n">
        <x:v>4</x:v>
      </x:c>
      <x:c r="C190" s="54" t="n">
        <x:v>7</x:v>
      </x:c>
      <x:c r="D190" s="54" t="n">
        <x:v>0</x:v>
      </x:c>
      <x:c r="E190" s="54" t="n">
        <x:v>68777</x:v>
      </x:c>
      <x:c r="F190" s="54" t="n">
        <x:v>48196</x:v>
      </x:c>
      <x:c r="G190" s="54" t="n">
        <x:v>17494</x:v>
      </x:c>
      <x:c r="H190" s="54" t="n">
        <x:v>16623</x:v>
      </x:c>
      <x:c r="I190" s="54" t="n">
        <x:v>9974</x:v>
      </x:c>
      <x:c r="J190" s="54" t="n">
        <x:v>78</x:v>
      </x:c>
      <x:c r="K190" s="53" t="n">
        <x:v>9.092387</x:v>
      </x:c>
      <x:c r="L190" s="53" t="n">
        <x:v>29.6852</x:v>
      </x:c>
      <x:c r="M190" s="53" t="n">
        <x:v>-95.407</x:v>
      </x:c>
      <x:c r="N190" s="54" t="n">
        <x:v>250</x:v>
      </x:c>
      <x:c r="O190" s="54" t="n">
        <x:v>0</x:v>
      </x:c>
    </x:row>
    <x:row r="191">
      <x:c r="A191" s="54" t="n">
        <x:v>187</x:v>
      </x:c>
      <x:c r="B191" s="54" t="n">
        <x:v>7</x:v>
      </x:c>
      <x:c r="C191" s="54" t="n">
        <x:v>14</x:v>
      </x:c>
      <x:c r="D191" s="54" t="n">
        <x:v>0</x:v>
      </x:c>
      <x:c r="E191" s="54" t="n">
        <x:v>64478</x:v>
      </x:c>
      <x:c r="F191" s="54" t="n">
        <x:v>53525</x:v>
      </x:c>
      <x:c r="G191" s="54" t="n">
        <x:v>8821</x:v>
      </x:c>
      <x:c r="H191" s="54" t="n">
        <x:v>5894</x:v>
      </x:c>
      <x:c r="I191" s="54" t="n">
        <x:v>2652</x:v>
      </x:c>
      <x:c r="J191" s="54" t="n">
        <x:v>103</x:v>
      </x:c>
      <x:c r="K191" s="53" t="n">
        <x:v>8.69743</x:v>
      </x:c>
      <x:c r="L191" s="53" t="n">
        <x:v>25.9549</x:v>
      </x:c>
      <x:c r="M191" s="53" t="n">
        <x:v>-80.2383</x:v>
      </x:c>
      <x:c r="N191" s="54" t="n">
        <x:v>350</x:v>
      </x:c>
      <x:c r="O191" s="54" t="n">
        <x:v>0</x:v>
      </x:c>
    </x:row>
    <x:row r="192">
      <x:c r="A192" s="54" t="n">
        <x:v>188</x:v>
      </x:c>
      <x:c r="B192" s="54" t="n">
        <x:v>5</x:v>
      </x:c>
      <x:c r="C192" s="54" t="n">
        <x:v>10</x:v>
      </x:c>
      <x:c r="D192" s="54" t="n">
        <x:v>1</x:v>
      </x:c>
      <x:c r="E192" s="54" t="n">
        <x:v>69045</x:v>
      </x:c>
      <x:c r="F192" s="54" t="n">
        <x:v>50841</x:v>
      </x:c>
      <x:c r="G192" s="54" t="n">
        <x:v>5503</x:v>
      </x:c>
      <x:c r="H192" s="54" t="n">
        <x:v>6333</x:v>
      </x:c>
      <x:c r="I192" s="54" t="n">
        <x:v>2850</x:v>
      </x:c>
      <x:c r="J192" s="54" t="n">
        <x:v>112</x:v>
      </x:c>
      <x:c r="K192" s="53" t="n">
        <x:v>8.632123</x:v>
      </x:c>
      <x:c r="L192" s="53" t="n">
        <x:v>39.0491</x:v>
      </x:c>
      <x:c r="M192" s="53" t="n">
        <x:v>-94.4871</x:v>
      </x:c>
      <x:c r="N192" s="54" t="n">
        <x:v>400</x:v>
      </x:c>
      <x:c r="O192" s="54" t="n">
        <x:v>0</x:v>
      </x:c>
    </x:row>
    <x:row r="193">
      <x:c r="A193" s="54" t="n">
        <x:v>189</x:v>
      </x:c>
      <x:c r="B193" s="54" t="n">
        <x:v>10</x:v>
      </x:c>
      <x:c r="C193" s="54" t="n">
        <x:v>19</x:v>
      </x:c>
      <x:c r="D193" s="54" t="n">
        <x:v>0</x:v>
      </x:c>
      <x:c r="E193" s="54" t="n">
        <x:v>68827</x:v>
      </x:c>
      <x:c r="F193" s="54" t="n">
        <x:v>62859</x:v>
      </x:c>
      <x:c r="G193" s="54" t="n">
        <x:v>34973</x:v>
      </x:c>
      <x:c r="H193" s="54" t="n">
        <x:v>16266</x:v>
      </x:c>
      <x:c r="I193" s="54" t="n">
        <x:v>10573</x:v>
      </x:c>
      <x:c r="J193" s="54" t="n">
        <x:v>81</x:v>
      </x:c>
      <x:c r="K193" s="53" t="n">
        <x:v>8.807888</x:v>
      </x:c>
      <x:c r="L193" s="53" t="n">
        <x:v>37.403468</x:v>
      </x:c>
      <x:c r="M193" s="53" t="n">
        <x:v>-121.974908</x:v>
      </x:c>
      <x:c r="N193" s="54" t="n">
        <x:v>250</x:v>
      </x:c>
      <x:c r="O193" s="54" t="n">
        <x:v>1</x:v>
      </x:c>
    </x:row>
    <x:row r="194">
      <x:c r="A194" s="54" t="n">
        <x:v>190</x:v>
      </x:c>
      <x:c r="B194" s="54" t="n">
        <x:v>9</x:v>
      </x:c>
      <x:c r="C194" s="54" t="n">
        <x:v>17</x:v>
      </x:c>
      <x:c r="D194" s="54" t="n">
        <x:v>0</x:v>
      </x:c>
      <x:c r="E194" s="54" t="n">
        <x:v>68324</x:v>
      </x:c>
      <x:c r="F194" s="54" t="n">
        <x:v>65269</x:v>
      </x:c>
      <x:c r="G194" s="54" t="n">
        <x:v>23244</x:v>
      </x:c>
      <x:c r="H194" s="54" t="n">
        <x:v>24339</x:v>
      </x:c>
      <x:c r="I194" s="54" t="n">
        <x:v>14603</x:v>
      </x:c>
      <x:c r="J194" s="54" t="n">
        <x:v>71</x:v>
      </x:c>
      <x:c r="K194" s="53" t="n">
        <x:v>8.474327</x:v>
      </x:c>
      <x:c r="L194" s="53" t="n">
        <x:v>39.9047</x:v>
      </x:c>
      <x:c r="M194" s="53" t="n">
        <x:v>-75.1736</x:v>
      </x:c>
      <x:c r="N194" s="54" t="n">
        <x:v>250</x:v>
      </x:c>
      <x:c r="O194" s="54" t="n">
        <x:v>1</x:v>
      </x:c>
    </x:row>
    <x:row r="195">
      <x:c r="A195" s="54" t="n">
        <x:v>191</x:v>
      </x:c>
      <x:c r="B195" s="54" t="n">
        <x:v>11</x:v>
      </x:c>
      <x:c r="C195" s="54" t="n">
        <x:v>21</x:v>
      </x:c>
      <x:c r="D195" s="54" t="n">
        <x:v>0</x:v>
      </x:c>
      <x:c r="E195" s="54" t="n">
        <x:v>66925</x:v>
      </x:c>
      <x:c r="F195" s="54" t="n">
        <x:v>56009</x:v>
      </x:c>
      <x:c r="G195" s="54" t="n">
        <x:v>25861</x:v>
      </x:c>
      <x:c r="H195" s="54" t="n">
        <x:v>28695</x:v>
      </x:c>
      <x:c r="I195" s="54" t="n">
        <x:v>15782</x:v>
      </x:c>
      <x:c r="J195" s="54" t="n">
        <x:v>68</x:v>
      </x:c>
      <x:c r="K195" s="53" t="n">
        <x:v>8.408439</x:v>
      </x:c>
      <x:c r="L195" s="53" t="n">
        <x:v>47.5917</x:v>
      </x:c>
      <x:c r="M195" s="53" t="n">
        <x:v>-122.3272</x:v>
      </x:c>
      <x:c r="N195" s="54" t="n">
        <x:v>250</x:v>
      </x:c>
      <x:c r="O195" s="54" t="n">
        <x:v>1</x:v>
      </x:c>
    </x:row>
    <x:row r="196">
      <x:c r="A196" s="54" t="n">
        <x:v>192</x:v>
      </x:c>
      <x:c r="B196" s="54" t="n">
        <x:v>6</x:v>
      </x:c>
      <x:c r="C196" s="54" t="n">
        <x:v>11</x:v>
      </x:c>
      <x:c r="D196" s="54" t="n">
        <x:v>1</x:v>
      </x:c>
      <x:c r="E196" s="54" t="n">
        <x:v>70492</x:v>
      </x:c>
      <x:c r="F196" s="54" t="n">
        <x:v>60277</x:v>
      </x:c>
      <x:c r="G196" s="54" t="n">
        <x:v>22135</x:v>
      </x:c>
      <x:c r="H196" s="54" t="n">
        <x:v>8573</x:v>
      </x:c>
      <x:c r="I196" s="54" t="n">
        <x:v>4287</x:v>
      </x:c>
      <x:c r="J196" s="54" t="n">
        <x:v>92</x:v>
      </x:c>
      <x:c r="K196" s="53" t="n">
        <x:v>9.603284</x:v>
      </x:c>
      <x:c r="L196" s="53" t="n">
        <x:v>33.9509</x:v>
      </x:c>
      <x:c r="M196" s="53" t="n">
        <x:v>-118.3441</x:v>
      </x:c>
      <x:c r="N196" s="54" t="n">
        <x:v>350</x:v>
      </x:c>
      <x:c r="O196" s="54" t="n">
        <x:v>0</x:v>
      </x:c>
    </x:row>
    <x:row r="197">
      <x:c r="A197" s="54" t="n">
        <x:v>193</x:v>
      </x:c>
      <x:c r="B197" s="54" t="n">
        <x:v>3</x:v>
      </x:c>
      <x:c r="C197" s="54" t="n">
        <x:v>6</x:v>
      </x:c>
      <x:c r="D197" s="54" t="n">
        <x:v>0</x:v>
      </x:c>
      <x:c r="E197" s="54" t="n">
        <x:v>70649</x:v>
      </x:c>
      <x:c r="F197" s="54" t="n">
        <x:v>61280</x:v>
      </x:c>
      <x:c r="G197" s="54" t="n">
        <x:v>7172</x:v>
      </x:c>
      <x:c r="H197" s="54" t="n">
        <x:v>8893</x:v>
      </x:c>
      <x:c r="I197" s="54" t="n">
        <x:v>4002</x:v>
      </x:c>
      <x:c r="J197" s="54" t="n">
        <x:v>107</x:v>
      </x:c>
      <x:c r="K197" s="53" t="n">
        <x:v>10.033037</x:v>
      </x:c>
      <x:c r="L197" s="53" t="n">
        <x:v>32.7506</x:v>
      </x:c>
      <x:c r="M197" s="53" t="n">
        <x:v>-97.0915</x:v>
      </x:c>
      <x:c r="N197" s="54" t="n">
        <x:v>350</x:v>
      </x:c>
      <x:c r="O197" s="54" t="n">
        <x:v>0</x:v>
      </x:c>
    </x:row>
    <x:row r="198">
      <x:c r="A198" s="54" t="n">
        <x:v>194</x:v>
      </x:c>
      <x:c r="B198" s="54" t="n">
        <x:v>7</x:v>
      </x:c>
      <x:c r="C198" s="54" t="n">
        <x:v>13</x:v>
      </x:c>
      <x:c r="D198" s="54" t="n">
        <x:v>0</x:v>
      </x:c>
      <x:c r="E198" s="54" t="n">
        <x:v>64478</x:v>
      </x:c>
      <x:c r="F198" s="54" t="n">
        <x:v>57239</x:v>
      </x:c>
      <x:c r="G198" s="54" t="n">
        <x:v>15110</x:v>
      </x:c>
      <x:c r="H198" s="54" t="n">
        <x:v>5848</x:v>
      </x:c>
      <x:c r="I198" s="54" t="n">
        <x:v>3216</x:v>
      </x:c>
      <x:c r="J198" s="54" t="n">
        <x:v>118</x:v>
      </x:c>
      <x:c r="K198" s="53" t="n">
        <x:v>8.69743</x:v>
      </x:c>
      <x:c r="L198" s="53" t="n">
        <x:v>25.957</x:v>
      </x:c>
      <x:c r="M198" s="53" t="n">
        <x:v>-80.2425</x:v>
      </x:c>
      <x:c r="N198" s="54" t="n">
        <x:v>400</x:v>
      </x:c>
      <x:c r="O198" s="54" t="n">
        <x:v>0</x:v>
      </x:c>
    </x:row>
    <x:row r="199">
      <x:c r="A199" s="54" t="n">
        <x:v>195</x:v>
      </x:c>
      <x:c r="B199" s="54" t="n">
        <x:v>9</x:v>
      </x:c>
      <x:c r="C199" s="54" t="n">
        <x:v>17</x:v>
      </x:c>
      <x:c r="D199" s="54" t="n">
        <x:v>0</x:v>
      </x:c>
      <x:c r="E199" s="54" t="n">
        <x:v>68324</x:v>
      </x:c>
      <x:c r="F199" s="54" t="n">
        <x:v>64100</x:v>
      </x:c>
      <x:c r="G199" s="54" t="n">
        <x:v>24779</x:v>
      </x:c>
      <x:c r="H199" s="54" t="n">
        <x:v>30062</x:v>
      </x:c>
      <x:c r="I199" s="54" t="n">
        <x:v>18037</x:v>
      </x:c>
      <x:c r="J199" s="54" t="n">
        <x:v>95</x:v>
      </x:c>
      <x:c r="K199" s="53" t="n">
        <x:v>8.474327</x:v>
      </x:c>
      <x:c r="L199" s="53" t="n">
        <x:v>39.9047</x:v>
      </x:c>
      <x:c r="M199" s="53" t="n">
        <x:v>-75.1736</x:v>
      </x:c>
      <x:c r="N199" s="54" t="n">
        <x:v>250</x:v>
      </x:c>
      <x:c r="O199" s="54" t="n">
        <x:v>1</x:v>
      </x:c>
    </x:row>
    <x:row r="200">
      <x:c r="A200" s="54" t="n">
        <x:v>196</x:v>
      </x:c>
      <x:c r="B200" s="54" t="n">
        <x:v>6</x:v>
      </x:c>
      <x:c r="C200" s="54" t="n">
        <x:v>11</x:v>
      </x:c>
      <x:c r="D200" s="54" t="n">
        <x:v>0</x:v>
      </x:c>
      <x:c r="E200" s="54" t="n">
        <x:v>70492</x:v>
      </x:c>
      <x:c r="F200" s="54" t="n">
        <x:v>61037</x:v>
      </x:c>
      <x:c r="G200" s="54" t="n">
        <x:v>24736</x:v>
      </x:c>
      <x:c r="H200" s="54" t="n">
        <x:v>17083</x:v>
      </x:c>
      <x:c r="I200" s="54" t="n">
        <x:v>8542</x:v>
      </x:c>
      <x:c r="J200" s="54" t="n">
        <x:v>100</x:v>
      </x:c>
      <x:c r="K200" s="53" t="n">
        <x:v>9.603284</x:v>
      </x:c>
      <x:c r="L200" s="53" t="n">
        <x:v>33.9509</x:v>
      </x:c>
      <x:c r="M200" s="53" t="n">
        <x:v>-118.3441</x:v>
      </x:c>
      <x:c r="N200" s="54" t="n">
        <x:v>350</x:v>
      </x:c>
      <x:c r="O200" s="54" t="n">
        <x:v>0</x:v>
      </x:c>
    </x:row>
    <x:row r="201">
      <x:c r="A201" s="54" t="n">
        <x:v>197</x:v>
      </x:c>
      <x:c r="B201" s="54" t="n">
        <x:v>6</x:v>
      </x:c>
      <x:c r="C201" s="54" t="n">
        <x:v>11</x:v>
      </x:c>
      <x:c r="D201" s="54" t="n">
        <x:v>0</x:v>
      </x:c>
      <x:c r="E201" s="54" t="n">
        <x:v>70492</x:v>
      </x:c>
      <x:c r="F201" s="54" t="n">
        <x:v>66898</x:v>
      </x:c>
      <x:c r="G201" s="54" t="n">
        <x:v>29027</x:v>
      </x:c>
      <x:c r="H201" s="54" t="n">
        <x:v>12873</x:v>
      </x:c>
      <x:c r="I201" s="54" t="n">
        <x:v>6437</x:v>
      </x:c>
      <x:c r="J201" s="54" t="n">
        <x:v>96</x:v>
      </x:c>
      <x:c r="K201" s="53" t="n">
        <x:v>9.603284</x:v>
      </x:c>
      <x:c r="L201" s="53" t="n">
        <x:v>33.9509</x:v>
      </x:c>
      <x:c r="M201" s="53" t="n">
        <x:v>-118.3441</x:v>
      </x:c>
      <x:c r="N201" s="54" t="n">
        <x:v>350</x:v>
      </x:c>
      <x:c r="O201" s="54" t="n">
        <x:v>1</x:v>
      </x:c>
    </x:row>
    <x:row r="202">
      <x:c r="A202" s="54" t="n">
        <x:v>198</x:v>
      </x:c>
      <x:c r="B202" s="54" t="n">
        <x:v>6</x:v>
      </x:c>
      <x:c r="C202" s="54" t="n">
        <x:v>11</x:v>
      </x:c>
      <x:c r="D202" s="54" t="n">
        <x:v>0</x:v>
      </x:c>
      <x:c r="E202" s="54" t="n">
        <x:v>70492</x:v>
      </x:c>
      <x:c r="F202" s="54" t="n">
        <x:v>63236</x:v>
      </x:c>
      <x:c r="G202" s="54" t="n">
        <x:v>19179</x:v>
      </x:c>
      <x:c r="H202" s="54" t="n">
        <x:v>19265</x:v>
      </x:c>
      <x:c r="I202" s="54" t="n">
        <x:v>9633</x:v>
      </x:c>
      <x:c r="J202" s="54" t="n">
        <x:v>103</x:v>
      </x:c>
      <x:c r="K202" s="53" t="n">
        <x:v>9.603284</x:v>
      </x:c>
      <x:c r="L202" s="53" t="n">
        <x:v>33.9509</x:v>
      </x:c>
      <x:c r="M202" s="53" t="n">
        <x:v>-118.3441</x:v>
      </x:c>
      <x:c r="N202" s="54" t="n">
        <x:v>350</x:v>
      </x:c>
      <x:c r="O202" s="54" t="n">
        <x:v>0</x:v>
      </x:c>
    </x:row>
    <x:row r="203">
      <x:c r="A203" s="54" t="n">
        <x:v>199</x:v>
      </x:c>
      <x:c r="B203" s="54" t="n">
        <x:v>3</x:v>
      </x:c>
      <x:c r="C203" s="54" t="n">
        <x:v>6</x:v>
      </x:c>
      <x:c r="D203" s="54" t="n">
        <x:v>1</x:v>
      </x:c>
      <x:c r="E203" s="54" t="n">
        <x:v>70649</x:v>
      </x:c>
      <x:c r="F203" s="54" t="n">
        <x:v>61504</x:v>
      </x:c>
      <x:c r="G203" s="54" t="n">
        <x:v>5833</x:v>
      </x:c>
      <x:c r="H203" s="54" t="n">
        <x:v>6698</x:v>
      </x:c>
      <x:c r="I203" s="54" t="n">
        <x:v>3014</x:v>
      </x:c>
      <x:c r="J203" s="54" t="n">
        <x:v>103</x:v>
      </x:c>
      <x:c r="K203" s="53" t="n">
        <x:v>10.033037</x:v>
      </x:c>
      <x:c r="L203" s="53" t="n">
        <x:v>32.7506</x:v>
      </x:c>
      <x:c r="M203" s="53" t="n">
        <x:v>-97.0915</x:v>
      </x:c>
      <x:c r="N203" s="54" t="n">
        <x:v>350</x:v>
      </x:c>
      <x:c r="O203" s="54" t="n">
        <x:v>0</x:v>
      </x:c>
    </x:row>
    <x:row r="204">
      <x:c r="A204" s="54" t="n">
        <x:v>200</x:v>
      </x:c>
      <x:c r="B204" s="54" t="n">
        <x:v>1</x:v>
      </x:c>
      <x:c r="C204" s="54" t="n">
        <x:v>1</x:v>
      </x:c>
      <x:c r="D204" s="54" t="n">
        <x:v>0</x:v>
      </x:c>
      <x:c r="E204" s="54" t="n">
        <x:v>68239</x:v>
      </x:c>
      <x:c r="F204" s="54" t="n">
        <x:v>55507</x:v>
      </x:c>
      <x:c r="G204" s="54" t="n">
        <x:v>27317</x:v>
      </x:c>
      <x:c r="H204" s="54" t="n">
        <x:v>22696</x:v>
      </x:c>
      <x:c r="I204" s="54" t="n">
        <x:v>13164</x:v>
      </x:c>
      <x:c r="J204" s="54" t="n">
        <x:v>63</x:v>
      </x:c>
      <x:c r="K204" s="53" t="n">
        <x:v>9.391018</x:v>
      </x:c>
      <x:c r="L204" s="53" t="n">
        <x:v>33.7565</x:v>
      </x:c>
      <x:c r="M204" s="53" t="n">
        <x:v>-84.4038</x:v>
      </x:c>
      <x:c r="N204" s="54" t="n">
        <x:v>250</x:v>
      </x:c>
      <x:c r="O204" s="54" t="n">
        <x:v>0</x:v>
      </x:c>
    </x:row>
    <x:row r="205">
      <x:c r="A205" s="54" t="n">
        <x:v>201</x:v>
      </x:c>
      <x:c r="B205" s="54" t="n">
        <x:v>9</x:v>
      </x:c>
      <x:c r="C205" s="54" t="n">
        <x:v>17</x:v>
      </x:c>
      <x:c r="D205" s="54" t="n">
        <x:v>0</x:v>
      </x:c>
      <x:c r="E205" s="54" t="n">
        <x:v>68324</x:v>
      </x:c>
      <x:c r="F205" s="54" t="n">
        <x:v>55975</x:v>
      </x:c>
      <x:c r="G205" s="54" t="n">
        <x:v>25275</x:v>
      </x:c>
      <x:c r="H205" s="54" t="n">
        <x:v>22740</x:v>
      </x:c>
      <x:c r="I205" s="54" t="n">
        <x:v>13644</x:v>
      </x:c>
      <x:c r="J205" s="54" t="n">
        <x:v>73</x:v>
      </x:c>
      <x:c r="K205" s="53" t="n">
        <x:v>8.474327</x:v>
      </x:c>
      <x:c r="L205" s="53" t="n">
        <x:v>39.9047</x:v>
      </x:c>
      <x:c r="M205" s="53" t="n">
        <x:v>-75.1736</x:v>
      </x:c>
      <x:c r="N205" s="54" t="n">
        <x:v>250</x:v>
      </x:c>
      <x:c r="O205" s="54" t="n">
        <x:v>0</x:v>
      </x:c>
    </x:row>
    <x:row r="206">
      <x:c r="A206" s="54" t="n">
        <x:v>202</x:v>
      </x:c>
      <x:c r="B206" s="54" t="n">
        <x:v>2</x:v>
      </x:c>
      <x:c r="C206" s="54" t="n">
        <x:v>3</x:v>
      </x:c>
      <x:c r="D206" s="54" t="n">
        <x:v>0</x:v>
      </x:c>
      <x:c r="E206" s="54" t="n">
        <x:v>64146</x:v>
      </x:c>
      <x:c r="F206" s="54" t="n">
        <x:v>54202</x:v>
      </x:c>
      <x:c r="G206" s="54" t="n">
        <x:v>15377</x:v>
      </x:c>
      <x:c r="H206" s="54" t="n">
        <x:v>9130</x:v>
      </x:c>
      <x:c r="I206" s="54" t="n">
        <x:v>5935</x:v>
      </x:c>
      <x:c r="J206" s="54" t="n">
        <x:v>116</x:v>
      </x:c>
      <x:c r="K206" s="53" t="n">
        <x:v>8.671598</x:v>
      </x:c>
      <x:c r="L206" s="53" t="n">
        <x:v>42.0889</x:v>
      </x:c>
      <x:c r="M206" s="53" t="n">
        <x:v>-71.2597</x:v>
      </x:c>
      <x:c r="N206" s="54" t="n">
        <x:v>250</x:v>
      </x:c>
      <x:c r="O206" s="54" t="n">
        <x:v>0</x:v>
      </x:c>
    </x:row>
    <x:row r="207">
      <x:c r="A207" s="54" t="n">
        <x:v>203</x:v>
      </x:c>
      <x:c r="B207" s="54" t="n">
        <x:v>9</x:v>
      </x:c>
      <x:c r="C207" s="54" t="n">
        <x:v>17</x:v>
      </x:c>
      <x:c r="D207" s="54" t="n">
        <x:v>0</x:v>
      </x:c>
      <x:c r="E207" s="54" t="n">
        <x:v>68324</x:v>
      </x:c>
      <x:c r="F207" s="54" t="n">
        <x:v>61229</x:v>
      </x:c>
      <x:c r="G207" s="54" t="n">
        <x:v>33781</x:v>
      </x:c>
      <x:c r="H207" s="54" t="n">
        <x:v>30379</x:v>
      </x:c>
      <x:c r="I207" s="54" t="n">
        <x:v>18227</x:v>
      </x:c>
      <x:c r="J207" s="54" t="n">
        <x:v>89</x:v>
      </x:c>
      <x:c r="K207" s="53" t="n">
        <x:v>8.474327</x:v>
      </x:c>
      <x:c r="L207" s="53" t="n">
        <x:v>39.9047</x:v>
      </x:c>
      <x:c r="M207" s="53" t="n">
        <x:v>-75.1736</x:v>
      </x:c>
      <x:c r="N207" s="54" t="n">
        <x:v>250</x:v>
      </x:c>
      <x:c r="O207" s="54" t="n">
        <x:v>1</x:v>
      </x:c>
    </x:row>
    <x:row r="208">
      <x:c r="A208" s="54" t="n">
        <x:v>204</x:v>
      </x:c>
      <x:c r="B208" s="54" t="n">
        <x:v>2</x:v>
      </x:c>
      <x:c r="C208" s="54" t="n">
        <x:v>3</x:v>
      </x:c>
      <x:c r="D208" s="54" t="n">
        <x:v>2</x:v>
      </x:c>
      <x:c r="E208" s="54" t="n">
        <x:v>64146</x:v>
      </x:c>
      <x:c r="F208" s="54" t="n">
        <x:v>58459</x:v>
      </x:c>
      <x:c r="G208" s="54" t="n">
        <x:v>15793</x:v>
      </x:c>
      <x:c r="H208" s="54" t="n">
        <x:v>15577</x:v>
      </x:c>
      <x:c r="I208" s="54" t="n">
        <x:v>10125</x:v>
      </x:c>
      <x:c r="J208" s="54" t="n">
        <x:v>105</x:v>
      </x:c>
      <x:c r="K208" s="53" t="n">
        <x:v>8.671598</x:v>
      </x:c>
      <x:c r="L208" s="53" t="n">
        <x:v>42.0889</x:v>
      </x:c>
      <x:c r="M208" s="53" t="n">
        <x:v>-71.2597</x:v>
      </x:c>
      <x:c r="N208" s="54" t="n">
        <x:v>250</x:v>
      </x:c>
      <x:c r="O208" s="54" t="n">
        <x:v>1</x:v>
      </x:c>
    </x:row>
    <x:row r="209">
      <x:c r="A209" s="54" t="n">
        <x:v>205</x:v>
      </x:c>
      <x:c r="B209" s="54" t="n">
        <x:v>7</x:v>
      </x:c>
      <x:c r="C209" s="54" t="n">
        <x:v>14</x:v>
      </x:c>
      <x:c r="D209" s="54" t="n">
        <x:v>0</x:v>
      </x:c>
      <x:c r="E209" s="54" t="n">
        <x:v>64478</x:v>
      </x:c>
      <x:c r="F209" s="54" t="n">
        <x:v>50964</x:v>
      </x:c>
      <x:c r="G209" s="54" t="n">
        <x:v>8205</x:v>
      </x:c>
      <x:c r="H209" s="54" t="n">
        <x:v>4077</x:v>
      </x:c>
      <x:c r="I209" s="54" t="n">
        <x:v>1835</x:v>
      </x:c>
      <x:c r="J209" s="54" t="n">
        <x:v>97</x:v>
      </x:c>
      <x:c r="K209" s="53" t="n">
        <x:v>8.69743</x:v>
      </x:c>
      <x:c r="L209" s="53" t="n">
        <x:v>25.9549</x:v>
      </x:c>
      <x:c r="M209" s="53" t="n">
        <x:v>-80.2383</x:v>
      </x:c>
      <x:c r="N209" s="54" t="n">
        <x:v>350</x:v>
      </x:c>
      <x:c r="O209" s="54" t="n">
        <x:v>0</x:v>
      </x:c>
    </x:row>
    <x:row r="210">
      <x:c r="A210" s="54" t="n">
        <x:v>206</x:v>
      </x:c>
      <x:c r="B210" s="54" t="n">
        <x:v>9</x:v>
      </x:c>
      <x:c r="C210" s="54" t="n">
        <x:v>17</x:v>
      </x:c>
      <x:c r="D210" s="54" t="n">
        <x:v>2</x:v>
      </x:c>
      <x:c r="E210" s="54" t="n">
        <x:v>68324</x:v>
      </x:c>
      <x:c r="F210" s="54" t="n">
        <x:v>58401</x:v>
      </x:c>
      <x:c r="G210" s="54" t="n">
        <x:v>26175</x:v>
      </x:c>
      <x:c r="H210" s="54" t="n">
        <x:v>30005</x:v>
      </x:c>
      <x:c r="I210" s="54" t="n">
        <x:v>18003</x:v>
      </x:c>
      <x:c r="J210" s="54" t="n">
        <x:v>84</x:v>
      </x:c>
      <x:c r="K210" s="53" t="n">
        <x:v>8.474327</x:v>
      </x:c>
      <x:c r="L210" s="53" t="n">
        <x:v>39.9047</x:v>
      </x:c>
      <x:c r="M210" s="53" t="n">
        <x:v>-75.1736</x:v>
      </x:c>
      <x:c r="N210" s="54" t="n">
        <x:v>250</x:v>
      </x:c>
      <x:c r="O210" s="54" t="n">
        <x:v>1</x:v>
      </x:c>
    </x:row>
    <x:row r="211">
      <x:c r="A211" s="54" t="n">
        <x:v>207</x:v>
      </x:c>
      <x:c r="B211" s="54" t="n">
        <x:v>8</x:v>
      </x:c>
      <x:c r="C211" s="54" t="n">
        <x:v>15</x:v>
      </x:c>
      <x:c r="D211" s="54" t="n">
        <x:v>0</x:v>
      </x:c>
      <x:c r="E211" s="54" t="n">
        <x:v>80663</x:v>
      </x:c>
      <x:c r="F211" s="54" t="n">
        <x:v>65633</x:v>
      </x:c>
      <x:c r="G211" s="54" t="n">
        <x:v>17786</x:v>
      </x:c>
      <x:c r="H211" s="54" t="n">
        <x:v>45439</x:v>
      </x:c>
      <x:c r="I211" s="54" t="n">
        <x:v>24991</x:v>
      </x:c>
      <x:c r="J211" s="54" t="n">
        <x:v>63</x:v>
      </x:c>
      <x:c r="K211" s="53" t="n">
        <x:v>10.438681</x:v>
      </x:c>
      <x:c r="L211" s="53" t="n">
        <x:v>40.807664</x:v>
      </x:c>
      <x:c r="M211" s="53" t="n">
        <x:v>-74.069833</x:v>
      </x:c>
      <x:c r="N211" s="54" t="n">
        <x:v>250</x:v>
      </x:c>
      <x:c r="O211" s="54" t="n">
        <x:v>0</x:v>
      </x:c>
    </x:row>
    <x:row r="212">
      <x:c r="A212" s="54" t="n">
        <x:v>208</x:v>
      </x:c>
      <x:c r="B212" s="54" t="n">
        <x:v>11</x:v>
      </x:c>
      <x:c r="C212" s="54" t="n">
        <x:v>21</x:v>
      </x:c>
      <x:c r="D212" s="54" t="n">
        <x:v>1</x:v>
      </x:c>
      <x:c r="E212" s="54" t="n">
        <x:v>66925</x:v>
      </x:c>
      <x:c r="F212" s="54" t="n">
        <x:v>57472</x:v>
      </x:c>
      <x:c r="G212" s="54" t="n">
        <x:v>28148</x:v>
      </x:c>
      <x:c r="H212" s="54" t="n">
        <x:v>27312</x:v>
      </x:c>
      <x:c r="I212" s="54" t="n">
        <x:v>15022</x:v>
      </x:c>
      <x:c r="J212" s="54" t="n">
        <x:v>75</x:v>
      </x:c>
      <x:c r="K212" s="53" t="n">
        <x:v>8.408439</x:v>
      </x:c>
      <x:c r="L212" s="53" t="n">
        <x:v>47.5917</x:v>
      </x:c>
      <x:c r="M212" s="53" t="n">
        <x:v>-122.3272</x:v>
      </x:c>
      <x:c r="N212" s="54" t="n">
        <x:v>250</x:v>
      </x:c>
      <x:c r="O212" s="54" t="n">
        <x:v>1</x:v>
      </x:c>
    </x:row>
    <x:row r="213">
      <x:c r="A213" s="54" t="n">
        <x:v>209</x:v>
      </x:c>
      <x:c r="B213" s="54" t="n">
        <x:v>9</x:v>
      </x:c>
      <x:c r="C213" s="54" t="n">
        <x:v>17</x:v>
      </x:c>
      <x:c r="D213" s="54" t="n">
        <x:v>0</x:v>
      </x:c>
      <x:c r="E213" s="54" t="n">
        <x:v>68324</x:v>
      </x:c>
      <x:c r="F213" s="54" t="n">
        <x:v>56449</x:v>
      </x:c>
      <x:c r="G213" s="54" t="n">
        <x:v>23762</x:v>
      </x:c>
      <x:c r="H213" s="54" t="n">
        <x:v>22542</x:v>
      </x:c>
      <x:c r="I213" s="54" t="n">
        <x:v>13525</x:v>
      </x:c>
      <x:c r="J213" s="54" t="n">
        <x:v>74</x:v>
      </x:c>
      <x:c r="K213" s="53" t="n">
        <x:v>8.474327</x:v>
      </x:c>
      <x:c r="L213" s="53" t="n">
        <x:v>39.9047</x:v>
      </x:c>
      <x:c r="M213" s="53" t="n">
        <x:v>-75.1736</x:v>
      </x:c>
      <x:c r="N213" s="54" t="n">
        <x:v>250</x:v>
      </x:c>
      <x:c r="O213" s="54" t="n">
        <x:v>0</x:v>
      </x:c>
    </x:row>
    <x:row r="214">
      <x:c r="A214" s="54" t="n">
        <x:v>210</x:v>
      </x:c>
      <x:c r="B214" s="54" t="n">
        <x:v>7</x:v>
      </x:c>
      <x:c r="C214" s="54" t="n">
        <x:v>14</x:v>
      </x:c>
      <x:c r="D214" s="54" t="n">
        <x:v>4</x:v>
      </x:c>
      <x:c r="E214" s="54" t="n">
        <x:v>64478</x:v>
      </x:c>
      <x:c r="F214" s="54" t="n">
        <x:v>53333</x:v>
      </x:c>
      <x:c r="G214" s="54" t="n">
        <x:v>12272</x:v>
      </x:c>
      <x:c r="H214" s="54" t="n">
        <x:v>9211</x:v>
      </x:c>
      <x:c r="I214" s="54" t="n">
        <x:v>4145</x:v>
      </x:c>
      <x:c r="J214" s="54" t="n">
        <x:v>133</x:v>
      </x:c>
      <x:c r="K214" s="53" t="n">
        <x:v>8.69743</x:v>
      </x:c>
      <x:c r="L214" s="53" t="n">
        <x:v>25.9549</x:v>
      </x:c>
      <x:c r="M214" s="53" t="n">
        <x:v>-80.2383</x:v>
      </x:c>
      <x:c r="N214" s="54" t="n">
        <x:v>350</x:v>
      </x:c>
      <x:c r="O214" s="54" t="n">
        <x:v>1</x:v>
      </x:c>
    </x:row>
    <x:row r="215">
      <x:c r="A215" s="54" t="n">
        <x:v>211</x:v>
      </x:c>
      <x:c r="B215" s="54" t="n">
        <x:v>3</x:v>
      </x:c>
      <x:c r="C215" s="54" t="n">
        <x:v>6</x:v>
      </x:c>
      <x:c r="D215" s="54" t="n">
        <x:v>0</x:v>
      </x:c>
      <x:c r="E215" s="54" t="n">
        <x:v>70649</x:v>
      </x:c>
      <x:c r="F215" s="54" t="n">
        <x:v>57832</x:v>
      </x:c>
      <x:c r="G215" s="54" t="n">
        <x:v>6478</x:v>
      </x:c>
      <x:c r="H215" s="54" t="n">
        <x:v>10219</x:v>
      </x:c>
      <x:c r="I215" s="54" t="n">
        <x:v>4599</x:v>
      </x:c>
      <x:c r="J215" s="54" t="n">
        <x:v>94</x:v>
      </x:c>
      <x:c r="K215" s="53" t="n">
        <x:v>10.033037</x:v>
      </x:c>
      <x:c r="L215" s="53" t="n">
        <x:v>32.7506</x:v>
      </x:c>
      <x:c r="M215" s="53" t="n">
        <x:v>-97.0915</x:v>
      </x:c>
      <x:c r="N215" s="54" t="n">
        <x:v>350</x:v>
      </x:c>
      <x:c r="O215" s="54" t="n">
        <x:v>0</x:v>
      </x:c>
    </x:row>
    <x:row r="216">
      <x:c r="A216" s="54" t="n">
        <x:v>212</x:v>
      </x:c>
      <x:c r="B216" s="54" t="n">
        <x:v>10</x:v>
      </x:c>
      <x:c r="C216" s="54" t="n">
        <x:v>19</x:v>
      </x:c>
      <x:c r="D216" s="54" t="n">
        <x:v>1</x:v>
      </x:c>
      <x:c r="E216" s="54" t="n">
        <x:v>68827</x:v>
      </x:c>
      <x:c r="F216" s="54" t="n">
        <x:v>63312</x:v>
      </x:c>
      <x:c r="G216" s="54" t="n">
        <x:v>30679</x:v>
      </x:c>
      <x:c r="H216" s="54" t="n">
        <x:v>24228</x:v>
      </x:c>
      <x:c r="I216" s="54" t="n">
        <x:v>15748</x:v>
      </x:c>
      <x:c r="J216" s="54" t="n">
        <x:v>81</x:v>
      </x:c>
      <x:c r="K216" s="53" t="n">
        <x:v>8.807888</x:v>
      </x:c>
      <x:c r="L216" s="53" t="n">
        <x:v>37.403468</x:v>
      </x:c>
      <x:c r="M216" s="53" t="n">
        <x:v>-121.974908</x:v>
      </x:c>
      <x:c r="N216" s="54" t="n">
        <x:v>250</x:v>
      </x:c>
      <x:c r="O216" s="54" t="n">
        <x:v>1</x:v>
      </x:c>
    </x:row>
    <x:row r="217">
      <x:c r="A217" s="54" t="n">
        <x:v>213</x:v>
      </x:c>
      <x:c r="B217" s="54" t="n">
        <x:v>4</x:v>
      </x:c>
      <x:c r="C217" s="54" t="n">
        <x:v>7</x:v>
      </x:c>
      <x:c r="D217" s="54" t="n">
        <x:v>0</x:v>
      </x:c>
      <x:c r="E217" s="54" t="n">
        <x:v>68777</x:v>
      </x:c>
      <x:c r="F217" s="54" t="n">
        <x:v>52514</x:v>
      </x:c>
      <x:c r="G217" s="54" t="n">
        <x:v>16284</x:v>
      </x:c>
      <x:c r="H217" s="54" t="n">
        <x:v>19331</x:v>
      </x:c>
      <x:c r="I217" s="54" t="n">
        <x:v>11599</x:v>
      </x:c>
      <x:c r="J217" s="54" t="n">
        <x:v>72</x:v>
      </x:c>
      <x:c r="K217" s="53" t="n">
        <x:v>9.092387</x:v>
      </x:c>
      <x:c r="L217" s="53" t="n">
        <x:v>29.6852</x:v>
      </x:c>
      <x:c r="M217" s="53" t="n">
        <x:v>-95.407</x:v>
      </x:c>
      <x:c r="N217" s="54" t="n">
        <x:v>250</x:v>
      </x:c>
      <x:c r="O217" s="54" t="n">
        <x:v>0</x:v>
      </x:c>
    </x:row>
    <x:row r="218">
      <x:c r="A218" s="54" t="n">
        <x:v>214</x:v>
      </x:c>
      <x:c r="B218" s="54" t="n">
        <x:v>5</x:v>
      </x:c>
      <x:c r="C218" s="54" t="n">
        <x:v>10</x:v>
      </x:c>
      <x:c r="D218" s="54" t="n">
        <x:v>1</x:v>
      </x:c>
      <x:c r="E218" s="54" t="n">
        <x:v>69045</x:v>
      </x:c>
      <x:c r="F218" s="54" t="n">
        <x:v>60659</x:v>
      </x:c>
      <x:c r="G218" s="54" t="n">
        <x:v>6487</x:v>
      </x:c>
      <x:c r="H218" s="54" t="n">
        <x:v>13625</x:v>
      </x:c>
      <x:c r="I218" s="54" t="n">
        <x:v>6131</x:v>
      </x:c>
      <x:c r="J218" s="54" t="n">
        <x:v>109</x:v>
      </x:c>
      <x:c r="K218" s="53" t="n">
        <x:v>8.632123</x:v>
      </x:c>
      <x:c r="L218" s="53" t="n">
        <x:v>39.0491</x:v>
      </x:c>
      <x:c r="M218" s="53" t="n">
        <x:v>-94.4871</x:v>
      </x:c>
      <x:c r="N218" s="54" t="n">
        <x:v>400</x:v>
      </x:c>
      <x:c r="O218" s="54" t="n">
        <x:v>0</x:v>
      </x:c>
    </x:row>
    <x:row r="219">
      <x:c r="A219" s="54" t="n">
        <x:v>215</x:v>
      </x:c>
      <x:c r="B219" s="54" t="n">
        <x:v>5</x:v>
      </x:c>
      <x:c r="C219" s="54" t="n">
        <x:v>10</x:v>
      </x:c>
      <x:c r="D219" s="54" t="n">
        <x:v>2</x:v>
      </x:c>
      <x:c r="E219" s="54" t="n">
        <x:v>69045</x:v>
      </x:c>
      <x:c r="F219" s="54" t="n">
        <x:v>60103</x:v>
      </x:c>
      <x:c r="G219" s="54" t="n">
        <x:v>5225</x:v>
      </x:c>
      <x:c r="H219" s="54" t="n">
        <x:v>12042</x:v>
      </x:c>
      <x:c r="I219" s="54" t="n">
        <x:v>5419</x:v>
      </x:c>
      <x:c r="J219" s="54" t="n">
        <x:v>121</x:v>
      </x:c>
      <x:c r="K219" s="53" t="n">
        <x:v>8.632123</x:v>
      </x:c>
      <x:c r="L219" s="53" t="n">
        <x:v>39.0491</x:v>
      </x:c>
      <x:c r="M219" s="53" t="n">
        <x:v>-94.4871</x:v>
      </x:c>
      <x:c r="N219" s="54" t="n">
        <x:v>400</x:v>
      </x:c>
      <x:c r="O219" s="54" t="n">
        <x:v>0</x:v>
      </x:c>
    </x:row>
    <x:row r="220">
      <x:c r="A220" s="54" t="n">
        <x:v>216</x:v>
      </x:c>
      <x:c r="B220" s="54" t="n">
        <x:v>3</x:v>
      </x:c>
      <x:c r="C220" s="54" t="n">
        <x:v>6</x:v>
      </x:c>
      <x:c r="D220" s="54" t="n">
        <x:v>0</x:v>
      </x:c>
      <x:c r="E220" s="54" t="n">
        <x:v>70649</x:v>
      </x:c>
      <x:c r="F220" s="54" t="n">
        <x:v>63095</x:v>
      </x:c>
      <x:c r="G220" s="54" t="n">
        <x:v>9760</x:v>
      </x:c>
      <x:c r="H220" s="54" t="n">
        <x:v>8821</x:v>
      </x:c>
      <x:c r="I220" s="54" t="n">
        <x:v>3969</x:v>
      </x:c>
      <x:c r="J220" s="54" t="n">
        <x:v>114</x:v>
      </x:c>
      <x:c r="K220" s="53" t="n">
        <x:v>10.033037</x:v>
      </x:c>
      <x:c r="L220" s="53" t="n">
        <x:v>32.7506</x:v>
      </x:c>
      <x:c r="M220" s="53" t="n">
        <x:v>-97.0915</x:v>
      </x:c>
      <x:c r="N220" s="54" t="n">
        <x:v>350</x:v>
      </x:c>
      <x:c r="O220" s="54" t="n">
        <x:v>0</x:v>
      </x:c>
    </x:row>
    <x:row r="221">
      <x:c r="A221" s="54" t="n">
        <x:v>217</x:v>
      </x:c>
      <x:c r="B221" s="54" t="n">
        <x:v>7</x:v>
      </x:c>
      <x:c r="C221" s="54" t="n">
        <x:v>14</x:v>
      </x:c>
      <x:c r="D221" s="54" t="n">
        <x:v>3</x:v>
      </x:c>
      <x:c r="E221" s="54" t="n">
        <x:v>64478</x:v>
      </x:c>
      <x:c r="F221" s="54" t="n">
        <x:v>58018</x:v>
      </x:c>
      <x:c r="G221" s="54" t="n">
        <x:v>14467</x:v>
      </x:c>
      <x:c r="H221" s="54" t="n">
        <x:v>11484</x:v>
      </x:c>
      <x:c r="I221" s="54" t="n">
        <x:v>5168</x:v>
      </x:c>
      <x:c r="J221" s="54" t="n">
        <x:v>124</x:v>
      </x:c>
      <x:c r="K221" s="53" t="n">
        <x:v>8.69743</x:v>
      </x:c>
      <x:c r="L221" s="53" t="n">
        <x:v>25.9549</x:v>
      </x:c>
      <x:c r="M221" s="53" t="n">
        <x:v>-80.2383</x:v>
      </x:c>
      <x:c r="N221" s="54" t="n">
        <x:v>350</x:v>
      </x:c>
      <x:c r="O221" s="54" t="n">
        <x:v>1</x:v>
      </x:c>
    </x:row>
    <x:row r="222">
      <x:c r="A222" s="54" t="n">
        <x:v>218</x:v>
      </x:c>
      <x:c r="B222" s="54" t="n">
        <x:v>3</x:v>
      </x:c>
      <x:c r="C222" s="54" t="n">
        <x:v>6</x:v>
      </x:c>
      <x:c r="D222" s="54" t="n">
        <x:v>1</x:v>
      </x:c>
      <x:c r="E222" s="54" t="n">
        <x:v>70649</x:v>
      </x:c>
      <x:c r="F222" s="54" t="n">
        <x:v>61664</x:v>
      </x:c>
      <x:c r="G222" s="54" t="n">
        <x:v>9275</x:v>
      </x:c>
      <x:c r="H222" s="54" t="n">
        <x:v>6790</x:v>
      </x:c>
      <x:c r="I222" s="54" t="n">
        <x:v>3056</x:v>
      </x:c>
      <x:c r="J222" s="54" t="n">
        <x:v>121</x:v>
      </x:c>
      <x:c r="K222" s="53" t="n">
        <x:v>10.033037</x:v>
      </x:c>
      <x:c r="L222" s="53" t="n">
        <x:v>32.7506</x:v>
      </x:c>
      <x:c r="M222" s="53" t="n">
        <x:v>-97.0915</x:v>
      </x:c>
      <x:c r="N222" s="54" t="n">
        <x:v>350</x:v>
      </x:c>
      <x:c r="O222" s="54" t="n">
        <x:v>0</x:v>
      </x:c>
    </x:row>
    <x:row r="223">
      <x:c r="A223" s="54" t="n">
        <x:v>219</x:v>
      </x:c>
      <x:c r="B223" s="54" t="n">
        <x:v>5</x:v>
      </x:c>
      <x:c r="C223" s="54" t="n">
        <x:v>10</x:v>
      </x:c>
      <x:c r="D223" s="54" t="n">
        <x:v>0</x:v>
      </x:c>
      <x:c r="E223" s="54" t="n">
        <x:v>69045</x:v>
      </x:c>
      <x:c r="F223" s="54" t="n">
        <x:v>51823</x:v>
      </x:c>
      <x:c r="G223" s="54" t="n">
        <x:v>2591</x:v>
      </x:c>
      <x:c r="H223" s="54" t="n">
        <x:v>12305</x:v>
      </x:c>
      <x:c r="I223" s="54" t="n">
        <x:v>5537</x:v>
      </x:c>
      <x:c r="J223" s="54" t="n">
        <x:v>118</x:v>
      </x:c>
      <x:c r="K223" s="53" t="n">
        <x:v>8.632123</x:v>
      </x:c>
      <x:c r="L223" s="53" t="n">
        <x:v>39.0491</x:v>
      </x:c>
      <x:c r="M223" s="53" t="n">
        <x:v>-94.4871</x:v>
      </x:c>
      <x:c r="N223" s="54" t="n">
        <x:v>400</x:v>
      </x:c>
      <x:c r="O223" s="54" t="n">
        <x:v>0</x:v>
      </x:c>
    </x:row>
    <x:row r="224">
      <x:c r="A224" s="54" t="n">
        <x:v>220</x:v>
      </x:c>
      <x:c r="B224" s="54" t="n">
        <x:v>6</x:v>
      </x:c>
      <x:c r="C224" s="54" t="n">
        <x:v>11</x:v>
      </x:c>
      <x:c r="D224" s="54" t="n">
        <x:v>0</x:v>
      </x:c>
      <x:c r="E224" s="54" t="n">
        <x:v>70492</x:v>
      </x:c>
      <x:c r="F224" s="54" t="n">
        <x:v>62300</x:v>
      </x:c>
      <x:c r="G224" s="54" t="n">
        <x:v>24135</x:v>
      </x:c>
      <x:c r="H224" s="54" t="n">
        <x:v>14264</x:v>
      </x:c>
      <x:c r="I224" s="54" t="n">
        <x:v>7132</x:v>
      </x:c>
      <x:c r="J224" s="54" t="n">
        <x:v>115</x:v>
      </x:c>
      <x:c r="K224" s="53" t="n">
        <x:v>9.603284</x:v>
      </x:c>
      <x:c r="L224" s="53" t="n">
        <x:v>33.9509</x:v>
      </x:c>
      <x:c r="M224" s="53" t="n">
        <x:v>-118.3441</x:v>
      </x:c>
      <x:c r="N224" s="54" t="n">
        <x:v>350</x:v>
      </x:c>
      <x:c r="O224" s="54" t="n">
        <x:v>1</x:v>
      </x:c>
    </x:row>
    <x:row r="225">
      <x:c r="A225" s="54" t="n">
        <x:v>221</x:v>
      </x:c>
      <x:c r="B225" s="54" t="n">
        <x:v>9</x:v>
      </x:c>
      <x:c r="C225" s="54" t="n">
        <x:v>17</x:v>
      </x:c>
      <x:c r="D225" s="54" t="n">
        <x:v>0</x:v>
      </x:c>
      <x:c r="E225" s="54" t="n">
        <x:v>68324</x:v>
      </x:c>
      <x:c r="F225" s="54" t="n">
        <x:v>48522</x:v>
      </x:c>
      <x:c r="G225" s="54" t="n">
        <x:v>21508</x:v>
      </x:c>
      <x:c r="H225" s="54" t="n">
        <x:v>22987</x:v>
      </x:c>
      <x:c r="I225" s="54" t="n">
        <x:v>13792</x:v>
      </x:c>
      <x:c r="J225" s="54" t="n">
        <x:v>79</x:v>
      </x:c>
      <x:c r="K225" s="53" t="n">
        <x:v>8.474327</x:v>
      </x:c>
      <x:c r="L225" s="53" t="n">
        <x:v>39.9047</x:v>
      </x:c>
      <x:c r="M225" s="53" t="n">
        <x:v>-75.1736</x:v>
      </x:c>
      <x:c r="N225" s="54" t="n">
        <x:v>250</x:v>
      </x:c>
      <x:c r="O225" s="54" t="n">
        <x:v>0</x:v>
      </x:c>
    </x:row>
    <x:row r="226">
      <x:c r="A226" s="54" t="n">
        <x:v>222</x:v>
      </x:c>
      <x:c r="B226" s="54" t="n">
        <x:v>6</x:v>
      </x:c>
      <x:c r="C226" s="54" t="n">
        <x:v>11</x:v>
      </x:c>
      <x:c r="D226" s="54" t="n">
        <x:v>0</x:v>
      </x:c>
      <x:c r="E226" s="54" t="n">
        <x:v>70492</x:v>
      </x:c>
      <x:c r="F226" s="54" t="n">
        <x:v>61407</x:v>
      </x:c>
      <x:c r="G226" s="54" t="n">
        <x:v>17241</x:v>
      </x:c>
      <x:c r="H226" s="54" t="n">
        <x:v>9038</x:v>
      </x:c>
      <x:c r="I226" s="54" t="n">
        <x:v>4519</x:v>
      </x:c>
      <x:c r="J226" s="54" t="n">
        <x:v>102</x:v>
      </x:c>
      <x:c r="K226" s="53" t="n">
        <x:v>9.603284</x:v>
      </x:c>
      <x:c r="L226" s="53" t="n">
        <x:v>33.9509</x:v>
      </x:c>
      <x:c r="M226" s="53" t="n">
        <x:v>-118.3441</x:v>
      </x:c>
      <x:c r="N226" s="54" t="n">
        <x:v>350</x:v>
      </x:c>
      <x:c r="O226" s="54" t="n">
        <x:v>0</x:v>
      </x:c>
    </x:row>
    <x:row r="227">
      <x:c r="A227" s="54" t="n">
        <x:v>223</x:v>
      </x:c>
      <x:c r="B227" s="54" t="n">
        <x:v>7</x:v>
      </x:c>
      <x:c r="C227" s="54" t="n">
        <x:v>13</x:v>
      </x:c>
      <x:c r="D227" s="54" t="n">
        <x:v>0</x:v>
      </x:c>
      <x:c r="E227" s="54" t="n">
        <x:v>64478</x:v>
      </x:c>
      <x:c r="F227" s="54" t="n">
        <x:v>58044</x:v>
      </x:c>
      <x:c r="G227" s="54" t="n">
        <x:v>15501</x:v>
      </x:c>
      <x:c r="H227" s="54" t="n">
        <x:v>11088</x:v>
      </x:c>
      <x:c r="I227" s="54" t="n">
        <x:v>6098</x:v>
      </x:c>
      <x:c r="J227" s="54" t="n">
        <x:v>122</x:v>
      </x:c>
      <x:c r="K227" s="53" t="n">
        <x:v>8.69743</x:v>
      </x:c>
      <x:c r="L227" s="53" t="n">
        <x:v>25.957</x:v>
      </x:c>
      <x:c r="M227" s="53" t="n">
        <x:v>-80.2425</x:v>
      </x:c>
      <x:c r="N227" s="54" t="n">
        <x:v>400</x:v>
      </x:c>
      <x:c r="O227" s="54" t="n">
        <x:v>0</x:v>
      </x:c>
    </x:row>
    <x:row r="228">
      <x:c r="A228" s="54" t="n">
        <x:v>224</x:v>
      </x:c>
      <x:c r="B228" s="54" t="n">
        <x:v>11</x:v>
      </x:c>
      <x:c r="C228" s="54" t="n">
        <x:v>21</x:v>
      </x:c>
      <x:c r="D228" s="54" t="n">
        <x:v>1</x:v>
      </x:c>
      <x:c r="E228" s="54" t="n">
        <x:v>66925</x:v>
      </x:c>
      <x:c r="F228" s="54" t="n">
        <x:v>63594</x:v>
      </x:c>
      <x:c r="G228" s="54" t="n">
        <x:v>38679</x:v>
      </x:c>
      <x:c r="H228" s="54" t="n">
        <x:v>36206</x:v>
      </x:c>
      <x:c r="I228" s="54" t="n">
        <x:v>19913</x:v>
      </x:c>
      <x:c r="J228" s="54" t="n">
        <x:v>90</x:v>
      </x:c>
      <x:c r="K228" s="53" t="n">
        <x:v>8.408439</x:v>
      </x:c>
      <x:c r="L228" s="53" t="n">
        <x:v>47.5917</x:v>
      </x:c>
      <x:c r="M228" s="53" t="n">
        <x:v>-122.3272</x:v>
      </x:c>
      <x:c r="N228" s="54" t="n">
        <x:v>250</x:v>
      </x:c>
      <x:c r="O228" s="54" t="n">
        <x:v>1</x:v>
      </x:c>
    </x:row>
    <x:row r="229">
      <x:c r="A229" s="54" t="n">
        <x:v>225</x:v>
      </x:c>
      <x:c r="B229" s="54" t="n">
        <x:v>3</x:v>
      </x:c>
      <x:c r="C229" s="54" t="n">
        <x:v>6</x:v>
      </x:c>
      <x:c r="D229" s="54" t="n">
        <x:v>2</x:v>
      </x:c>
      <x:c r="E229" s="54" t="n">
        <x:v>70649</x:v>
      </x:c>
      <x:c r="F229" s="54" t="n">
        <x:v>66922</x:v>
      </x:c>
      <x:c r="G229" s="54" t="n">
        <x:v>11989</x:v>
      </x:c>
      <x:c r="H229" s="54" t="n">
        <x:v>10787</x:v>
      </x:c>
      <x:c r="I229" s="54" t="n">
        <x:v>4854</x:v>
      </x:c>
      <x:c r="J229" s="54" t="n">
        <x:v>131</x:v>
      </x:c>
      <x:c r="K229" s="53" t="n">
        <x:v>10.033037</x:v>
      </x:c>
      <x:c r="L229" s="53" t="n">
        <x:v>32.7506</x:v>
      </x:c>
      <x:c r="M229" s="53" t="n">
        <x:v>-97.0915</x:v>
      </x:c>
      <x:c r="N229" s="54" t="n">
        <x:v>350</x:v>
      </x:c>
      <x:c r="O229" s="54" t="n">
        <x:v>1</x:v>
      </x:c>
    </x:row>
    <x:row r="230">
      <x:c r="A230" s="54" t="n">
        <x:v>226</x:v>
      </x:c>
      <x:c r="B230" s="54" t="n">
        <x:v>3</x:v>
      </x:c>
      <x:c r="C230" s="54" t="n">
        <x:v>6</x:v>
      </x:c>
      <x:c r="D230" s="54" t="n">
        <x:v>3</x:v>
      </x:c>
      <x:c r="E230" s="54" t="n">
        <x:v>70649</x:v>
      </x:c>
      <x:c r="F230" s="54" t="n">
        <x:v>60018</x:v>
      </x:c>
      <x:c r="G230" s="54" t="n">
        <x:v>5836</x:v>
      </x:c>
      <x:c r="H230" s="54" t="n">
        <x:v>8408</x:v>
      </x:c>
      <x:c r="I230" s="54" t="n">
        <x:v>3784</x:v>
      </x:c>
      <x:c r="J230" s="54" t="n">
        <x:v>124</x:v>
      </x:c>
      <x:c r="K230" s="53" t="n">
        <x:v>10.033037</x:v>
      </x:c>
      <x:c r="L230" s="53" t="n">
        <x:v>32.7506</x:v>
      </x:c>
      <x:c r="M230" s="53" t="n">
        <x:v>-97.0915</x:v>
      </x:c>
      <x:c r="N230" s="54" t="n">
        <x:v>350</x:v>
      </x:c>
      <x:c r="O230" s="54" t="n">
        <x:v>0</x:v>
      </x:c>
    </x:row>
    <x:row r="231">
      <x:c r="A231" s="54" t="n">
        <x:v>227</x:v>
      </x:c>
      <x:c r="B231" s="54" t="n">
        <x:v>10</x:v>
      </x:c>
      <x:c r="C231" s="54" t="n">
        <x:v>19</x:v>
      </x:c>
      <x:c r="D231" s="54" t="n">
        <x:v>0</x:v>
      </x:c>
      <x:c r="E231" s="54" t="n">
        <x:v>68827</x:v>
      </x:c>
      <x:c r="F231" s="54" t="n">
        <x:v>56275</x:v>
      </x:c>
      <x:c r="G231" s="54" t="n">
        <x:v>32958</x:v>
      </x:c>
      <x:c r="H231" s="54" t="n">
        <x:v>18918</x:v>
      </x:c>
      <x:c r="I231" s="54" t="n">
        <x:v>12297</x:v>
      </x:c>
      <x:c r="J231" s="54" t="n">
        <x:v>96</x:v>
      </x:c>
      <x:c r="K231" s="53" t="n">
        <x:v>8.807888</x:v>
      </x:c>
      <x:c r="L231" s="53" t="n">
        <x:v>37.403468</x:v>
      </x:c>
      <x:c r="M231" s="53" t="n">
        <x:v>-121.974908</x:v>
      </x:c>
      <x:c r="N231" s="54" t="n">
        <x:v>250</x:v>
      </x:c>
      <x:c r="O231" s="54" t="n">
        <x:v>1</x:v>
      </x:c>
    </x:row>
    <x:row r="232">
      <x:c r="A232" s="54" t="n">
        <x:v>228</x:v>
      </x:c>
      <x:c r="B232" s="54" t="n">
        <x:v>3</x:v>
      </x:c>
      <x:c r="C232" s="54" t="n">
        <x:v>6</x:v>
      </x:c>
      <x:c r="D232" s="54" t="n">
        <x:v>0</x:v>
      </x:c>
      <x:c r="E232" s="54" t="n">
        <x:v>70649</x:v>
      </x:c>
      <x:c r="F232" s="54" t="n">
        <x:v>58690</x:v>
      </x:c>
      <x:c r="G232" s="54" t="n">
        <x:v>13363</x:v>
      </x:c>
      <x:c r="H232" s="54" t="n">
        <x:v>4950</x:v>
      </x:c>
      <x:c r="I232" s="54" t="n">
        <x:v>2228</x:v>
      </x:c>
      <x:c r="J232" s="54" t="n">
        <x:v>112</x:v>
      </x:c>
      <x:c r="K232" s="53" t="n">
        <x:v>10.033037</x:v>
      </x:c>
      <x:c r="L232" s="53" t="n">
        <x:v>32.7506</x:v>
      </x:c>
      <x:c r="M232" s="53" t="n">
        <x:v>-97.0915</x:v>
      </x:c>
      <x:c r="N232" s="54" t="n">
        <x:v>350</x:v>
      </x:c>
      <x:c r="O232" s="54" t="n">
        <x:v>0</x:v>
      </x:c>
    </x:row>
    <x:row r="233">
      <x:c r="A233" s="54" t="n">
        <x:v>229</x:v>
      </x:c>
      <x:c r="B233" s="54" t="n">
        <x:v>2</x:v>
      </x:c>
      <x:c r="C233" s="54" t="n">
        <x:v>3</x:v>
      </x:c>
      <x:c r="D233" s="54" t="n">
        <x:v>1</x:v>
      </x:c>
      <x:c r="E233" s="54" t="n">
        <x:v>64146</x:v>
      </x:c>
      <x:c r="F233" s="54" t="n">
        <x:v>59043</x:v>
      </x:c>
      <x:c r="G233" s="54" t="n">
        <x:v>17440</x:v>
      </x:c>
      <x:c r="H233" s="54" t="n">
        <x:v>20695</x:v>
      </x:c>
      <x:c r="I233" s="54" t="n">
        <x:v>13452</x:v>
      </x:c>
      <x:c r="J233" s="54" t="n">
        <x:v>97</x:v>
      </x:c>
      <x:c r="K233" s="53" t="n">
        <x:v>8.671598</x:v>
      </x:c>
      <x:c r="L233" s="53" t="n">
        <x:v>42.0889</x:v>
      </x:c>
      <x:c r="M233" s="53" t="n">
        <x:v>-71.2597</x:v>
      </x:c>
      <x:c r="N233" s="54" t="n">
        <x:v>250</x:v>
      </x:c>
      <x:c r="O233" s="54" t="n">
        <x:v>1</x:v>
      </x:c>
    </x:row>
    <x:row r="234">
      <x:c r="A234" s="54" t="n">
        <x:v>230</x:v>
      </x:c>
      <x:c r="B234" s="54" t="n">
        <x:v>7</x:v>
      </x:c>
      <x:c r="C234" s="54" t="n">
        <x:v>14</x:v>
      </x:c>
      <x:c r="D234" s="54" t="n">
        <x:v>0</x:v>
      </x:c>
      <x:c r="E234" s="54" t="n">
        <x:v>64478</x:v>
      </x:c>
      <x:c r="F234" s="54" t="n">
        <x:v>52094</x:v>
      </x:c>
      <x:c r="G234" s="54" t="n">
        <x:v>8402</x:v>
      </x:c>
      <x:c r="H234" s="54" t="n">
        <x:v>4168</x:v>
      </x:c>
      <x:c r="I234" s="54" t="n">
        <x:v>1876</x:v>
      </x:c>
      <x:c r="J234" s="54" t="n">
        <x:v>104</x:v>
      </x:c>
      <x:c r="K234" s="53" t="n">
        <x:v>8.69743</x:v>
      </x:c>
      <x:c r="L234" s="53" t="n">
        <x:v>25.9549</x:v>
      </x:c>
      <x:c r="M234" s="53" t="n">
        <x:v>-80.2383</x:v>
      </x:c>
      <x:c r="N234" s="54" t="n">
        <x:v>350</x:v>
      </x:c>
      <x:c r="O234" s="54" t="n">
        <x:v>0</x:v>
      </x:c>
    </x:row>
    <x:row r="235">
      <x:c r="A235" s="54" t="n">
        <x:v>231</x:v>
      </x:c>
      <x:c r="B235" s="54" t="n">
        <x:v>11</x:v>
      </x:c>
      <x:c r="C235" s="54" t="n">
        <x:v>21</x:v>
      </x:c>
      <x:c r="D235" s="54" t="n">
        <x:v>0</x:v>
      </x:c>
      <x:c r="E235" s="54" t="n">
        <x:v>66925</x:v>
      </x:c>
      <x:c r="F235" s="54" t="n">
        <x:v>55787</x:v>
      </x:c>
      <x:c r="G235" s="54" t="n">
        <x:v>28585</x:v>
      </x:c>
      <x:c r="H235" s="54" t="n">
        <x:v>27504</x:v>
      </x:c>
      <x:c r="I235" s="54" t="n">
        <x:v>15127</x:v>
      </x:c>
      <x:c r="J235" s="54" t="n">
        <x:v>64</x:v>
      </x:c>
      <x:c r="K235" s="53" t="n">
        <x:v>8.408439</x:v>
      </x:c>
      <x:c r="L235" s="53" t="n">
        <x:v>47.5917</x:v>
      </x:c>
      <x:c r="M235" s="53" t="n">
        <x:v>-122.3272</x:v>
      </x:c>
      <x:c r="N235" s="54" t="n">
        <x:v>250</x:v>
      </x:c>
      <x:c r="O235" s="54" t="n">
        <x:v>1</x:v>
      </x:c>
    </x:row>
    <x:row r="236">
      <x:c r="A236" s="54" t="n">
        <x:v>232</x:v>
      </x:c>
      <x:c r="B236" s="54" t="n">
        <x:v>5</x:v>
      </x:c>
      <x:c r="C236" s="54" t="n">
        <x:v>10</x:v>
      </x:c>
      <x:c r="D236" s="54" t="n">
        <x:v>0</x:v>
      </x:c>
      <x:c r="E236" s="54" t="n">
        <x:v>69045</x:v>
      </x:c>
      <x:c r="F236" s="54" t="n">
        <x:v>68862</x:v>
      </x:c>
      <x:c r="G236" s="54" t="n">
        <x:v>5530</x:v>
      </x:c>
      <x:c r="H236" s="54" t="n">
        <x:v>5509</x:v>
      </x:c>
      <x:c r="I236" s="54" t="n">
        <x:v>2479</x:v>
      </x:c>
      <x:c r="J236" s="54" t="n">
        <x:v>127</x:v>
      </x:c>
      <x:c r="K236" s="53" t="n">
        <x:v>8.632123</x:v>
      </x:c>
      <x:c r="L236" s="53" t="n">
        <x:v>39.0491</x:v>
      </x:c>
      <x:c r="M236" s="53" t="n">
        <x:v>-94.4871</x:v>
      </x:c>
      <x:c r="N236" s="54" t="n">
        <x:v>400</x:v>
      </x:c>
      <x:c r="O236" s="54" t="n">
        <x:v>0</x:v>
      </x:c>
    </x:row>
    <x:row r="237">
      <x:c r="A237" s="54" t="n">
        <x:v>233</x:v>
      </x:c>
      <x:c r="B237" s="54" t="n">
        <x:v>3</x:v>
      </x:c>
      <x:c r="C237" s="54" t="n">
        <x:v>6</x:v>
      </x:c>
      <x:c r="D237" s="54" t="n">
        <x:v>0</x:v>
      </x:c>
      <x:c r="E237" s="54" t="n">
        <x:v>70649</x:v>
      </x:c>
      <x:c r="F237" s="54" t="n">
        <x:v>61977</x:v>
      </x:c>
      <x:c r="G237" s="54" t="n">
        <x:v>5154</x:v>
      </x:c>
      <x:c r="H237" s="54" t="n">
        <x:v>4958</x:v>
      </x:c>
      <x:c r="I237" s="54" t="n">
        <x:v>2231</x:v>
      </x:c>
      <x:c r="J237" s="54" t="n">
        <x:v>108</x:v>
      </x:c>
      <x:c r="K237" s="53" t="n">
        <x:v>10.033037</x:v>
      </x:c>
      <x:c r="L237" s="53" t="n">
        <x:v>32.7506</x:v>
      </x:c>
      <x:c r="M237" s="53" t="n">
        <x:v>-97.0915</x:v>
      </x:c>
      <x:c r="N237" s="54" t="n">
        <x:v>350</x:v>
      </x:c>
      <x:c r="O237" s="54" t="n">
        <x:v>0</x:v>
      </x:c>
    </x:row>
    <x:row r="238">
      <x:c r="A238" s="54" t="n">
        <x:v>234</x:v>
      </x:c>
      <x:c r="B238" s="54" t="n">
        <x:v>11</x:v>
      </x:c>
      <x:c r="C238" s="54" t="n">
        <x:v>21</x:v>
      </x:c>
      <x:c r="D238" s="54" t="n">
        <x:v>2</x:v>
      </x:c>
      <x:c r="E238" s="54" t="n">
        <x:v>66925</x:v>
      </x:c>
      <x:c r="F238" s="54" t="n">
        <x:v>57863</x:v>
      </x:c>
      <x:c r="G238" s="54" t="n">
        <x:v>30541</x:v>
      </x:c>
      <x:c r="H238" s="54" t="n">
        <x:v>30005</x:v>
      </x:c>
      <x:c r="I238" s="54" t="n">
        <x:v>16503</x:v>
      </x:c>
      <x:c r="J238" s="54" t="n">
        <x:v>63</x:v>
      </x:c>
      <x:c r="K238" s="53" t="n">
        <x:v>8.408439</x:v>
      </x:c>
      <x:c r="L238" s="53" t="n">
        <x:v>47.5917</x:v>
      </x:c>
      <x:c r="M238" s="53" t="n">
        <x:v>-122.3272</x:v>
      </x:c>
      <x:c r="N238" s="54" t="n">
        <x:v>250</x:v>
      </x:c>
      <x:c r="O238" s="54" t="n">
        <x:v>1</x:v>
      </x:c>
    </x:row>
    <x:row r="239">
      <x:c r="A239" s="54" t="n">
        <x:v>235</x:v>
      </x:c>
      <x:c r="B239" s="54" t="n">
        <x:v>11</x:v>
      </x:c>
      <x:c r="C239" s="54" t="n">
        <x:v>21</x:v>
      </x:c>
      <x:c r="D239" s="54" t="n">
        <x:v>0</x:v>
      </x:c>
      <x:c r="E239" s="54" t="n">
        <x:v>66925</x:v>
      </x:c>
      <x:c r="F239" s="54" t="n">
        <x:v>53794</x:v>
      </x:c>
      <x:c r="G239" s="54" t="n">
        <x:v>32141</x:v>
      </x:c>
      <x:c r="H239" s="54" t="n">
        <x:v>25896</x:v>
      </x:c>
      <x:c r="I239" s="54" t="n">
        <x:v>14243</x:v>
      </x:c>
      <x:c r="J239" s="54" t="n">
        <x:v>55</x:v>
      </x:c>
      <x:c r="K239" s="53" t="n">
        <x:v>8.408439</x:v>
      </x:c>
      <x:c r="L239" s="53" t="n">
        <x:v>47.5917</x:v>
      </x:c>
      <x:c r="M239" s="53" t="n">
        <x:v>-122.3272</x:v>
      </x:c>
      <x:c r="N239" s="54" t="n">
        <x:v>250</x:v>
      </x:c>
      <x:c r="O239" s="54" t="n">
        <x:v>0</x:v>
      </x:c>
    </x:row>
    <x:row r="240">
      <x:c r="A240" s="54" t="n">
        <x:v>236</x:v>
      </x:c>
      <x:c r="B240" s="54" t="n">
        <x:v>2</x:v>
      </x:c>
      <x:c r="C240" s="54" t="n">
        <x:v>4</x:v>
      </x:c>
      <x:c r="D240" s="54" t="n">
        <x:v>0</x:v>
      </x:c>
      <x:c r="E240" s="54" t="n">
        <x:v>64146</x:v>
      </x:c>
      <x:c r="F240" s="54" t="n">
        <x:v>55038</x:v>
      </x:c>
      <x:c r="G240" s="54" t="n">
        <x:v>12867</x:v>
      </x:c>
      <x:c r="H240" s="54" t="n">
        <x:v>17579</x:v>
      </x:c>
      <x:c r="I240" s="54" t="n">
        <x:v>6153</x:v>
      </x:c>
      <x:c r="J240" s="54" t="n">
        <x:v>102</x:v>
      </x:c>
      <x:c r="K240" s="53" t="n">
        <x:v>8.671598</x:v>
      </x:c>
      <x:c r="L240" s="53" t="n">
        <x:v>42.0916</x:v>
      </x:c>
      <x:c r="M240" s="53" t="n">
        <x:v>-71.2648</x:v>
      </x:c>
      <x:c r="N240" s="54" t="n">
        <x:v>300</x:v>
      </x:c>
      <x:c r="O240" s="54" t="n">
        <x:v>0</x:v>
      </x:c>
    </x:row>
    <x:row r="241">
      <x:c r="A241" s="54" t="n">
        <x:v>237</x:v>
      </x:c>
      <x:c r="B241" s="54" t="n">
        <x:v>6</x:v>
      </x:c>
      <x:c r="C241" s="54" t="n">
        <x:v>11</x:v>
      </x:c>
      <x:c r="D241" s="54" t="n">
        <x:v>0</x:v>
      </x:c>
      <x:c r="E241" s="54" t="n">
        <x:v>70492</x:v>
      </x:c>
      <x:c r="F241" s="54" t="n">
        <x:v>55717</x:v>
      </x:c>
      <x:c r="G241" s="54" t="n">
        <x:v>23817</x:v>
      </x:c>
      <x:c r="H241" s="54" t="n">
        <x:v>7965</x:v>
      </x:c>
      <x:c r="I241" s="54" t="n">
        <x:v>3983</x:v>
      </x:c>
      <x:c r="J241" s="54" t="n">
        <x:v>90</x:v>
      </x:c>
      <x:c r="K241" s="53" t="n">
        <x:v>9.603284</x:v>
      </x:c>
      <x:c r="L241" s="53" t="n">
        <x:v>33.9509</x:v>
      </x:c>
      <x:c r="M241" s="53" t="n">
        <x:v>-118.3441</x:v>
      </x:c>
      <x:c r="N241" s="54" t="n">
        <x:v>350</x:v>
      </x:c>
      <x:c r="O241" s="54" t="n">
        <x:v>0</x:v>
      </x:c>
    </x:row>
    <x:row r="242">
      <x:c r="A242" s="54" t="n">
        <x:v>238</x:v>
      </x:c>
      <x:c r="B242" s="54" t="n">
        <x:v>8</x:v>
      </x:c>
      <x:c r="C242" s="54" t="n">
        <x:v>15</x:v>
      </x:c>
      <x:c r="D242" s="54" t="n">
        <x:v>1</x:v>
      </x:c>
      <x:c r="E242" s="54" t="n">
        <x:v>80663</x:v>
      </x:c>
      <x:c r="F242" s="54" t="n">
        <x:v>65863</x:v>
      </x:c>
      <x:c r="G242" s="54" t="n">
        <x:v>20329</x:v>
      </x:c>
      <x:c r="H242" s="54" t="n">
        <x:v>38371</x:v>
      </x:c>
      <x:c r="I242" s="54" t="n">
        <x:v>21104</x:v>
      </x:c>
      <x:c r="J242" s="54" t="n">
        <x:v>70</x:v>
      </x:c>
      <x:c r="K242" s="53" t="n">
        <x:v>10.438681</x:v>
      </x:c>
      <x:c r="L242" s="53" t="n">
        <x:v>40.807664</x:v>
      </x:c>
      <x:c r="M242" s="53" t="n">
        <x:v>-74.069833</x:v>
      </x:c>
      <x:c r="N242" s="54" t="n">
        <x:v>250</x:v>
      </x:c>
      <x:c r="O242" s="54" t="n">
        <x:v>0</x:v>
      </x:c>
    </x:row>
    <x:row r="243">
      <x:c r="A243" s="54" t="n">
        <x:v>239</x:v>
      </x:c>
      <x:c r="B243" s="54" t="n">
        <x:v>2</x:v>
      </x:c>
      <x:c r="C243" s="54" t="n">
        <x:v>3</x:v>
      </x:c>
      <x:c r="D243" s="54" t="n">
        <x:v>1</x:v>
      </x:c>
      <x:c r="E243" s="54" t="n">
        <x:v>64146</x:v>
      </x:c>
      <x:c r="F243" s="54" t="n">
        <x:v>60498</x:v>
      </x:c>
      <x:c r="G243" s="54" t="n">
        <x:v>19530</x:v>
      </x:c>
      <x:c r="H243" s="54" t="n">
        <x:v>20595</x:v>
      </x:c>
      <x:c r="I243" s="54" t="n">
        <x:v>13387</x:v>
      </x:c>
      <x:c r="J243" s="54" t="n">
        <x:v>116</x:v>
      </x:c>
      <x:c r="K243" s="53" t="n">
        <x:v>8.671598</x:v>
      </x:c>
      <x:c r="L243" s="53" t="n">
        <x:v>42.0889</x:v>
      </x:c>
      <x:c r="M243" s="53" t="n">
        <x:v>-71.2597</x:v>
      </x:c>
      <x:c r="N243" s="54" t="n">
        <x:v>250</x:v>
      </x:c>
      <x:c r="O243" s="54" t="n">
        <x:v>1</x:v>
      </x:c>
    </x:row>
    <x:row r="244">
      <x:c r="A244" s="54" t="n">
        <x:v>240</x:v>
      </x:c>
      <x:c r="B244" s="54" t="n">
        <x:v>1</x:v>
      </x:c>
      <x:c r="C244" s="54" t="n">
        <x:v>1</x:v>
      </x:c>
      <x:c r="D244" s="54" t="n">
        <x:v>0</x:v>
      </x:c>
      <x:c r="E244" s="54" t="n">
        <x:v>68239</x:v>
      </x:c>
      <x:c r="F244" s="54" t="n">
        <x:v>64779</x:v>
      </x:c>
      <x:c r="G244" s="54" t="n">
        <x:v>31143</x:v>
      </x:c>
      <x:c r="H244" s="54" t="n">
        <x:v>31361</x:v>
      </x:c>
      <x:c r="I244" s="54" t="n">
        <x:v>18189</x:v>
      </x:c>
      <x:c r="J244" s="54" t="n">
        <x:v>67</x:v>
      </x:c>
      <x:c r="K244" s="53" t="n">
        <x:v>9.391018</x:v>
      </x:c>
      <x:c r="L244" s="53" t="n">
        <x:v>33.7565</x:v>
      </x:c>
      <x:c r="M244" s="53" t="n">
        <x:v>-84.4038</x:v>
      </x:c>
      <x:c r="N244" s="54" t="n">
        <x:v>250</x:v>
      </x:c>
      <x:c r="O244" s="54" t="n">
        <x:v>1</x:v>
      </x:c>
    </x:row>
    <x:row r="245">
      <x:c r="A245" s="54" t="n">
        <x:v>241</x:v>
      </x:c>
      <x:c r="B245" s="54" t="n">
        <x:v>10</x:v>
      </x:c>
      <x:c r="C245" s="54" t="n">
        <x:v>19</x:v>
      </x:c>
      <x:c r="D245" s="54" t="n">
        <x:v>2</x:v>
      </x:c>
      <x:c r="E245" s="54" t="n">
        <x:v>68827</x:v>
      </x:c>
      <x:c r="F245" s="54" t="n">
        <x:v>68689</x:v>
      </x:c>
      <x:c r="G245" s="54" t="n">
        <x:v>36798</x:v>
      </x:c>
      <x:c r="H245" s="54" t="n">
        <x:v>22073</x:v>
      </x:c>
      <x:c r="I245" s="54" t="n">
        <x:v>14347</x:v>
      </x:c>
      <x:c r="J245" s="54" t="n">
        <x:v>84</x:v>
      </x:c>
      <x:c r="K245" s="53" t="n">
        <x:v>8.807888</x:v>
      </x:c>
      <x:c r="L245" s="53" t="n">
        <x:v>37.403468</x:v>
      </x:c>
      <x:c r="M245" s="53" t="n">
        <x:v>-121.974908</x:v>
      </x:c>
      <x:c r="N245" s="54" t="n">
        <x:v>250</x:v>
      </x:c>
      <x:c r="O245" s="54" t="n">
        <x:v>1</x:v>
      </x:c>
    </x:row>
    <x:row r="246">
      <x:c r="A246" s="54" t="n">
        <x:v>242</x:v>
      </x:c>
      <x:c r="B246" s="54" t="n">
        <x:v>6</x:v>
      </x:c>
      <x:c r="C246" s="54" t="n">
        <x:v>11</x:v>
      </x:c>
      <x:c r="D246" s="54" t="n">
        <x:v>0</x:v>
      </x:c>
      <x:c r="E246" s="54" t="n">
        <x:v>70492</x:v>
      </x:c>
      <x:c r="F246" s="54" t="n">
        <x:v>58017</x:v>
      </x:c>
      <x:c r="G246" s="54" t="n">
        <x:v>21953</x:v>
      </x:c>
      <x:c r="H246" s="54" t="n">
        <x:v>15500</x:v>
      </x:c>
      <x:c r="I246" s="54" t="n">
        <x:v>7750</x:v>
      </x:c>
      <x:c r="J246" s="54" t="n">
        <x:v>109</x:v>
      </x:c>
      <x:c r="K246" s="53" t="n">
        <x:v>9.603284</x:v>
      </x:c>
      <x:c r="L246" s="53" t="n">
        <x:v>33.9509</x:v>
      </x:c>
      <x:c r="M246" s="53" t="n">
        <x:v>-118.3441</x:v>
      </x:c>
      <x:c r="N246" s="54" t="n">
        <x:v>350</x:v>
      </x:c>
      <x:c r="O246" s="54" t="n">
        <x:v>0</x:v>
      </x:c>
    </x:row>
    <x:row r="247">
      <x:c r="A247" s="54" t="n">
        <x:v>243</x:v>
      </x:c>
      <x:c r="B247" s="54" t="n">
        <x:v>1</x:v>
      </x:c>
      <x:c r="C247" s="54" t="n">
        <x:v>1</x:v>
      </x:c>
      <x:c r="D247" s="54" t="n">
        <x:v>0</x:v>
      </x:c>
      <x:c r="E247" s="54" t="n">
        <x:v>68239</x:v>
      </x:c>
      <x:c r="F247" s="54" t="n">
        <x:v>60151</x:v>
      </x:c>
      <x:c r="G247" s="54" t="n">
        <x:v>35045</x:v>
      </x:c>
      <x:c r="H247" s="54" t="n">
        <x:v>25556</x:v>
      </x:c>
      <x:c r="I247" s="54" t="n">
        <x:v>14822</x:v>
      </x:c>
      <x:c r="J247" s="54" t="n">
        <x:v>62</x:v>
      </x:c>
      <x:c r="K247" s="53" t="n">
        <x:v>9.391018</x:v>
      </x:c>
      <x:c r="L247" s="53" t="n">
        <x:v>33.7565</x:v>
      </x:c>
      <x:c r="M247" s="53" t="n">
        <x:v>-84.4038</x:v>
      </x:c>
      <x:c r="N247" s="54" t="n">
        <x:v>250</x:v>
      </x:c>
      <x:c r="O247" s="54" t="n">
        <x:v>1</x:v>
      </x:c>
    </x:row>
    <x:row r="248">
      <x:c r="A248" s="54" t="n">
        <x:v>244</x:v>
      </x:c>
      <x:c r="B248" s="54" t="n">
        <x:v>1</x:v>
      </x:c>
      <x:c r="C248" s="54" t="n">
        <x:v>1</x:v>
      </x:c>
      <x:c r="D248" s="54" t="n">
        <x:v>4</x:v>
      </x:c>
      <x:c r="E248" s="54" t="n">
        <x:v>68239</x:v>
      </x:c>
      <x:c r="F248" s="54" t="n">
        <x:v>67046</x:v>
      </x:c>
      <x:c r="G248" s="54" t="n">
        <x:v>35327</x:v>
      </x:c>
      <x:c r="H248" s="54" t="n">
        <x:v>28026</x:v>
      </x:c>
      <x:c r="I248" s="54" t="n">
        <x:v>16255</x:v>
      </x:c>
      <x:c r="J248" s="54" t="n">
        <x:v>68</x:v>
      </x:c>
      <x:c r="K248" s="53" t="n">
        <x:v>9.391018</x:v>
      </x:c>
      <x:c r="L248" s="53" t="n">
        <x:v>33.7565</x:v>
      </x:c>
      <x:c r="M248" s="53" t="n">
        <x:v>-84.4038</x:v>
      </x:c>
      <x:c r="N248" s="54" t="n">
        <x:v>250</x:v>
      </x:c>
      <x:c r="O248" s="54" t="n">
        <x:v>1</x:v>
      </x:c>
    </x:row>
    <x:row r="249">
      <x:c r="A249" s="54" t="n">
        <x:v>245</x:v>
      </x:c>
      <x:c r="B249" s="54" t="n">
        <x:v>3</x:v>
      </x:c>
      <x:c r="C249" s="54" t="n">
        <x:v>6</x:v>
      </x:c>
      <x:c r="D249" s="54" t="n">
        <x:v>1</x:v>
      </x:c>
      <x:c r="E249" s="54" t="n">
        <x:v>70649</x:v>
      </x:c>
      <x:c r="F249" s="54" t="n">
        <x:v>59237</x:v>
      </x:c>
      <x:c r="G249" s="54" t="n">
        <x:v>9184</x:v>
      </x:c>
      <x:c r="H249" s="54" t="n">
        <x:v>10087</x:v>
      </x:c>
      <x:c r="I249" s="54" t="n">
        <x:v>4539</x:v>
      </x:c>
      <x:c r="J249" s="54" t="n">
        <x:v>120</x:v>
      </x:c>
      <x:c r="K249" s="53" t="n">
        <x:v>10.033037</x:v>
      </x:c>
      <x:c r="L249" s="53" t="n">
        <x:v>32.7506</x:v>
      </x:c>
      <x:c r="M249" s="53" t="n">
        <x:v>-97.0915</x:v>
      </x:c>
      <x:c r="N249" s="54" t="n">
        <x:v>350</x:v>
      </x:c>
      <x:c r="O249" s="54" t="n">
        <x:v>0</x:v>
      </x:c>
    </x:row>
    <x:row r="250">
      <x:c r="A250" s="54" t="n">
        <x:v>246</x:v>
      </x:c>
      <x:c r="B250" s="54" t="n">
        <x:v>10</x:v>
      </x:c>
      <x:c r="C250" s="54" t="n">
        <x:v>19</x:v>
      </x:c>
      <x:c r="D250" s="54" t="n">
        <x:v>0</x:v>
      </x:c>
      <x:c r="E250" s="54" t="n">
        <x:v>68827</x:v>
      </x:c>
      <x:c r="F250" s="54" t="n">
        <x:v>57846</x:v>
      </x:c>
      <x:c r="G250" s="54" t="n">
        <x:v>36379</x:v>
      </x:c>
      <x:c r="H250" s="54" t="n">
        <x:v>21182</x:v>
      </x:c>
      <x:c r="I250" s="54" t="n">
        <x:v>13768</x:v>
      </x:c>
      <x:c r="J250" s="54" t="n">
        <x:v>96</x:v>
      </x:c>
      <x:c r="K250" s="53" t="n">
        <x:v>8.807888</x:v>
      </x:c>
      <x:c r="L250" s="53" t="n">
        <x:v>37.403468</x:v>
      </x:c>
      <x:c r="M250" s="53" t="n">
        <x:v>-121.974908</x:v>
      </x:c>
      <x:c r="N250" s="54" t="n">
        <x:v>250</x:v>
      </x:c>
      <x:c r="O250" s="54" t="n">
        <x:v>1</x:v>
      </x:c>
    </x:row>
    <x:row r="251">
      <x:c r="A251" s="54" t="n">
        <x:v>247</x:v>
      </x:c>
      <x:c r="B251" s="54" t="n">
        <x:v>3</x:v>
      </x:c>
      <x:c r="C251" s="54" t="n">
        <x:v>6</x:v>
      </x:c>
      <x:c r="D251" s="54" t="n">
        <x:v>0</x:v>
      </x:c>
      <x:c r="E251" s="54" t="n">
        <x:v>70649</x:v>
      </x:c>
      <x:c r="F251" s="54" t="n">
        <x:v>58841</x:v>
      </x:c>
      <x:c r="G251" s="54" t="n">
        <x:v>5743</x:v>
      </x:c>
      <x:c r="H251" s="54" t="n">
        <x:v>8788</x:v>
      </x:c>
      <x:c r="I251" s="54" t="n">
        <x:v>3955</x:v>
      </x:c>
      <x:c r="J251" s="54" t="n">
        <x:v>112</x:v>
      </x:c>
      <x:c r="K251" s="53" t="n">
        <x:v>10.033037</x:v>
      </x:c>
      <x:c r="L251" s="53" t="n">
        <x:v>32.7506</x:v>
      </x:c>
      <x:c r="M251" s="53" t="n">
        <x:v>-97.0915</x:v>
      </x:c>
      <x:c r="N251" s="54" t="n">
        <x:v>350</x:v>
      </x:c>
      <x:c r="O251" s="54" t="n">
        <x:v>0</x:v>
      </x:c>
    </x:row>
    <x:row r="252">
      <x:c r="A252" s="54" t="n">
        <x:v>248</x:v>
      </x:c>
      <x:c r="B252" s="54" t="n">
        <x:v>7</x:v>
      </x:c>
      <x:c r="C252" s="54" t="n">
        <x:v>14</x:v>
      </x:c>
      <x:c r="D252" s="54" t="n">
        <x:v>0</x:v>
      </x:c>
      <x:c r="E252" s="54" t="n">
        <x:v>64478</x:v>
      </x:c>
      <x:c r="F252" s="54" t="n">
        <x:v>56768</x:v>
      </x:c>
      <x:c r="G252" s="54" t="n">
        <x:v>10176</x:v>
      </x:c>
      <x:c r="H252" s="54" t="n">
        <x:v>5450</x:v>
      </x:c>
      <x:c r="I252" s="54" t="n">
        <x:v>2453</x:v>
      </x:c>
      <x:c r="J252" s="54" t="n">
        <x:v>117</x:v>
      </x:c>
      <x:c r="K252" s="53" t="n">
        <x:v>8.69743</x:v>
      </x:c>
      <x:c r="L252" s="53" t="n">
        <x:v>25.9549</x:v>
      </x:c>
      <x:c r="M252" s="53" t="n">
        <x:v>-80.2383</x:v>
      </x:c>
      <x:c r="N252" s="54" t="n">
        <x:v>350</x:v>
      </x:c>
      <x:c r="O252" s="54" t="n">
        <x:v>0</x:v>
      </x:c>
    </x:row>
    <x:row r="253">
      <x:c r="A253" s="54" t="n">
        <x:v>249</x:v>
      </x:c>
      <x:c r="B253" s="54" t="n">
        <x:v>9</x:v>
      </x:c>
      <x:c r="C253" s="54" t="n">
        <x:v>17</x:v>
      </x:c>
      <x:c r="D253" s="54" t="n">
        <x:v>0</x:v>
      </x:c>
      <x:c r="E253" s="54" t="n">
        <x:v>68324</x:v>
      </x:c>
      <x:c r="F253" s="54" t="n">
        <x:v>52918</x:v>
      </x:c>
      <x:c r="G253" s="54" t="n">
        <x:v>22265</x:v>
      </x:c>
      <x:c r="H253" s="54" t="n">
        <x:v>21315</x:v>
      </x:c>
      <x:c r="I253" s="54" t="n">
        <x:v>12789</x:v>
      </x:c>
      <x:c r="J253" s="54" t="n">
        <x:v>75</x:v>
      </x:c>
      <x:c r="K253" s="53" t="n">
        <x:v>8.474327</x:v>
      </x:c>
      <x:c r="L253" s="53" t="n">
        <x:v>39.9047</x:v>
      </x:c>
      <x:c r="M253" s="53" t="n">
        <x:v>-75.1736</x:v>
      </x:c>
      <x:c r="N253" s="54" t="n">
        <x:v>250</x:v>
      </x:c>
      <x:c r="O253" s="54" t="n">
        <x:v>0</x:v>
      </x:c>
    </x:row>
    <x:row r="254">
      <x:c r="A254" s="54" t="n">
        <x:v>250</x:v>
      </x:c>
      <x:c r="B254" s="54" t="n">
        <x:v>9</x:v>
      </x:c>
      <x:c r="C254" s="54" t="n">
        <x:v>17</x:v>
      </x:c>
      <x:c r="D254" s="54" t="n">
        <x:v>0</x:v>
      </x:c>
      <x:c r="E254" s="54" t="n">
        <x:v>68324</x:v>
      </x:c>
      <x:c r="F254" s="54" t="n">
        <x:v>65212</x:v>
      </x:c>
      <x:c r="G254" s="54" t="n">
        <x:v>32464</x:v>
      </x:c>
      <x:c r="H254" s="54" t="n">
        <x:v>28520</x:v>
      </x:c>
      <x:c r="I254" s="54" t="n">
        <x:v>17112</x:v>
      </x:c>
      <x:c r="J254" s="54" t="n">
        <x:v>89</x:v>
      </x:c>
      <x:c r="K254" s="53" t="n">
        <x:v>8.474327</x:v>
      </x:c>
      <x:c r="L254" s="53" t="n">
        <x:v>39.9047</x:v>
      </x:c>
      <x:c r="M254" s="53" t="n">
        <x:v>-75.1736</x:v>
      </x:c>
      <x:c r="N254" s="54" t="n">
        <x:v>250</x:v>
      </x:c>
      <x:c r="O254" s="54" t="n">
        <x:v>1</x:v>
      </x:c>
    </x:row>
    <x:row r="255">
      <x:c r="A255" s="54" t="n">
        <x:v>251</x:v>
      </x:c>
      <x:c r="B255" s="54" t="n">
        <x:v>11</x:v>
      </x:c>
      <x:c r="C255" s="54" t="n">
        <x:v>21</x:v>
      </x:c>
      <x:c r="D255" s="54" t="n">
        <x:v>0</x:v>
      </x:c>
      <x:c r="E255" s="54" t="n">
        <x:v>66925</x:v>
      </x:c>
      <x:c r="F255" s="54" t="n">
        <x:v>52792</x:v>
      </x:c>
      <x:c r="G255" s="54" t="n">
        <x:v>27244</x:v>
      </x:c>
      <x:c r="H255" s="54" t="n">
        <x:v>35735</x:v>
      </x:c>
      <x:c r="I255" s="54" t="n">
        <x:v>19654</x:v>
      </x:c>
      <x:c r="J255" s="54" t="n">
        <x:v>47</x:v>
      </x:c>
      <x:c r="K255" s="53" t="n">
        <x:v>8.408439</x:v>
      </x:c>
      <x:c r="L255" s="53" t="n">
        <x:v>47.5917</x:v>
      </x:c>
      <x:c r="M255" s="53" t="n">
        <x:v>-122.3272</x:v>
      </x:c>
      <x:c r="N255" s="54" t="n">
        <x:v>250</x:v>
      </x:c>
      <x:c r="O255" s="54" t="n">
        <x:v>0</x:v>
      </x:c>
    </x:row>
    <x:row r="256">
      <x:c r="A256" s="54" t="n">
        <x:v>252</x:v>
      </x:c>
      <x:c r="B256" s="54" t="n">
        <x:v>7</x:v>
      </x:c>
      <x:c r="C256" s="54" t="n">
        <x:v>14</x:v>
      </x:c>
      <x:c r="D256" s="54" t="n">
        <x:v>0</x:v>
      </x:c>
      <x:c r="E256" s="54" t="n">
        <x:v>64478</x:v>
      </x:c>
      <x:c r="F256" s="54" t="n">
        <x:v>55890</x:v>
      </x:c>
      <x:c r="G256" s="54" t="n">
        <x:v>8303</x:v>
      </x:c>
      <x:c r="H256" s="54" t="n">
        <x:v>4471</x:v>
      </x:c>
      <x:c r="I256" s="54" t="n">
        <x:v>2012</x:v>
      </x:c>
      <x:c r="J256" s="54" t="n">
        <x:v>111</x:v>
      </x:c>
      <x:c r="K256" s="53" t="n">
        <x:v>8.69743</x:v>
      </x:c>
      <x:c r="L256" s="53" t="n">
        <x:v>25.9549</x:v>
      </x:c>
      <x:c r="M256" s="53" t="n">
        <x:v>-80.2383</x:v>
      </x:c>
      <x:c r="N256" s="54" t="n">
        <x:v>350</x:v>
      </x:c>
      <x:c r="O256" s="54" t="n">
        <x:v>0</x:v>
      </x:c>
    </x:row>
    <x:row r="257">
      <x:c r="A257" s="54" t="n">
        <x:v>253</x:v>
      </x:c>
      <x:c r="B257" s="54" t="n">
        <x:v>5</x:v>
      </x:c>
      <x:c r="C257" s="54" t="n">
        <x:v>10</x:v>
      </x:c>
      <x:c r="D257" s="54" t="n">
        <x:v>0</x:v>
      </x:c>
      <x:c r="E257" s="54" t="n">
        <x:v>69045</x:v>
      </x:c>
      <x:c r="F257" s="54" t="n">
        <x:v>59548</x:v>
      </x:c>
      <x:c r="G257" s="54" t="n">
        <x:v>5830</x:v>
      </x:c>
      <x:c r="H257" s="54" t="n">
        <x:v>4764</x:v>
      </x:c>
      <x:c r="I257" s="54" t="n">
        <x:v>2144</x:v>
      </x:c>
      <x:c r="J257" s="54" t="n">
        <x:v>129</x:v>
      </x:c>
      <x:c r="K257" s="53" t="n">
        <x:v>8.632123</x:v>
      </x:c>
      <x:c r="L257" s="53" t="n">
        <x:v>39.0491</x:v>
      </x:c>
      <x:c r="M257" s="53" t="n">
        <x:v>-94.4871</x:v>
      </x:c>
      <x:c r="N257" s="54" t="n">
        <x:v>400</x:v>
      </x:c>
      <x:c r="O257" s="54" t="n">
        <x:v>0</x:v>
      </x:c>
    </x:row>
    <x:row r="258">
      <x:c r="A258" s="54" t="n">
        <x:v>254</x:v>
      </x:c>
      <x:c r="B258" s="54" t="n">
        <x:v>5</x:v>
      </x:c>
      <x:c r="C258" s="54" t="n">
        <x:v>10</x:v>
      </x:c>
      <x:c r="D258" s="54" t="n">
        <x:v>2</x:v>
      </x:c>
      <x:c r="E258" s="54" t="n">
        <x:v>69045</x:v>
      </x:c>
      <x:c r="F258" s="54" t="n">
        <x:v>57034</x:v>
      </x:c>
      <x:c r="G258" s="54" t="n">
        <x:v>9226</x:v>
      </x:c>
      <x:c r="H258" s="54" t="n">
        <x:v>14229</x:v>
      </x:c>
      <x:c r="I258" s="54" t="n">
        <x:v>6403</x:v>
      </x:c>
      <x:c r="J258" s="54" t="n">
        <x:v>127</x:v>
      </x:c>
      <x:c r="K258" s="53" t="n">
        <x:v>8.632123</x:v>
      </x:c>
      <x:c r="L258" s="53" t="n">
        <x:v>39.0491</x:v>
      </x:c>
      <x:c r="M258" s="53" t="n">
        <x:v>-94.4871</x:v>
      </x:c>
      <x:c r="N258" s="54" t="n">
        <x:v>400</x:v>
      </x:c>
      <x:c r="O258" s="54" t="n">
        <x:v>0</x:v>
      </x:c>
    </x:row>
    <x:row r="259">
      <x:c r="A259" s="54" t="n">
        <x:v>255</x:v>
      </x:c>
      <x:c r="B259" s="54" t="n">
        <x:v>9</x:v>
      </x:c>
      <x:c r="C259" s="54" t="n">
        <x:v>17</x:v>
      </x:c>
      <x:c r="D259" s="54" t="n">
        <x:v>0</x:v>
      </x:c>
      <x:c r="E259" s="54" t="n">
        <x:v>68324</x:v>
      </x:c>
      <x:c r="F259" s="54" t="n">
        <x:v>51425</x:v>
      </x:c>
      <x:c r="G259" s="54" t="n">
        <x:v>19070</x:v>
      </x:c>
      <x:c r="H259" s="54" t="n">
        <x:v>25235</x:v>
      </x:c>
      <x:c r="I259" s="54" t="n">
        <x:v>15141</x:v>
      </x:c>
      <x:c r="J259" s="54" t="n">
        <x:v>91</x:v>
      </x:c>
      <x:c r="K259" s="53" t="n">
        <x:v>8.474327</x:v>
      </x:c>
      <x:c r="L259" s="53" t="n">
        <x:v>39.9047</x:v>
      </x:c>
      <x:c r="M259" s="53" t="n">
        <x:v>-75.1736</x:v>
      </x:c>
      <x:c r="N259" s="54" t="n">
        <x:v>250</x:v>
      </x:c>
      <x:c r="O259" s="54" t="n">
        <x:v>0</x:v>
      </x:c>
    </x:row>
    <x:row r="260">
      <x:c r="A260" s="54" t="n">
        <x:v>256</x:v>
      </x:c>
      <x:c r="B260" s="54" t="n">
        <x:v>6</x:v>
      </x:c>
      <x:c r="C260" s="54" t="n">
        <x:v>11</x:v>
      </x:c>
      <x:c r="D260" s="54" t="n">
        <x:v>0</x:v>
      </x:c>
      <x:c r="E260" s="54" t="n">
        <x:v>70492</x:v>
      </x:c>
      <x:c r="F260" s="54" t="n">
        <x:v>62768</x:v>
      </x:c>
      <x:c r="G260" s="54" t="n">
        <x:v>24359</x:v>
      </x:c>
      <x:c r="H260" s="54" t="n">
        <x:v>12723</x:v>
      </x:c>
      <x:c r="I260" s="54" t="n">
        <x:v>6362</x:v>
      </x:c>
      <x:c r="J260" s="54" t="n">
        <x:v>98</x:v>
      </x:c>
      <x:c r="K260" s="53" t="n">
        <x:v>9.603284</x:v>
      </x:c>
      <x:c r="L260" s="53" t="n">
        <x:v>33.9509</x:v>
      </x:c>
      <x:c r="M260" s="53" t="n">
        <x:v>-118.3441</x:v>
      </x:c>
      <x:c r="N260" s="54" t="n">
        <x:v>350</x:v>
      </x:c>
      <x:c r="O260" s="54" t="n">
        <x:v>0</x:v>
      </x:c>
    </x:row>
    <x:row r="261">
      <x:c r="A261" s="54" t="n">
        <x:v>257</x:v>
      </x:c>
      <x:c r="B261" s="54" t="n">
        <x:v>8</x:v>
      </x:c>
      <x:c r="C261" s="54" t="n">
        <x:v>15</x:v>
      </x:c>
      <x:c r="D261" s="54" t="n">
        <x:v>0</x:v>
      </x:c>
      <x:c r="E261" s="54" t="n">
        <x:v>80663</x:v>
      </x:c>
      <x:c r="F261" s="54" t="n">
        <x:v>79217</x:v>
      </x:c>
      <x:c r="G261" s="54" t="n">
        <x:v>19889</x:v>
      </x:c>
      <x:c r="H261" s="54" t="n">
        <x:v>50415</x:v>
      </x:c>
      <x:c r="I261" s="54" t="n">
        <x:v>27728</x:v>
      </x:c>
      <x:c r="J261" s="54" t="n">
        <x:v>76</x:v>
      </x:c>
      <x:c r="K261" s="53" t="n">
        <x:v>10.438681</x:v>
      </x:c>
      <x:c r="L261" s="53" t="n">
        <x:v>40.807664</x:v>
      </x:c>
      <x:c r="M261" s="53" t="n">
        <x:v>-74.069833</x:v>
      </x:c>
      <x:c r="N261" s="54" t="n">
        <x:v>250</x:v>
      </x:c>
      <x:c r="O261" s="54" t="n">
        <x:v>1</x:v>
      </x:c>
    </x:row>
    <x:row r="262">
      <x:c r="A262" s="54" t="n">
        <x:v>258</x:v>
      </x:c>
      <x:c r="B262" s="54" t="n">
        <x:v>5</x:v>
      </x:c>
      <x:c r="C262" s="54" t="n">
        <x:v>10</x:v>
      </x:c>
      <x:c r="D262" s="54" t="n">
        <x:v>1</x:v>
      </x:c>
      <x:c r="E262" s="54" t="n">
        <x:v>69045</x:v>
      </x:c>
      <x:c r="F262" s="54" t="n">
        <x:v>53977</x:v>
      </x:c>
      <x:c r="G262" s="54" t="n">
        <x:v>10094</x:v>
      </x:c>
      <x:c r="H262" s="54" t="n">
        <x:v>6952</x:v>
      </x:c>
      <x:c r="I262" s="54" t="n">
        <x:v>3128</x:v>
      </x:c>
      <x:c r="J262" s="54" t="n">
        <x:v>120</x:v>
      </x:c>
      <x:c r="K262" s="53" t="n">
        <x:v>8.632123</x:v>
      </x:c>
      <x:c r="L262" s="53" t="n">
        <x:v>39.0491</x:v>
      </x:c>
      <x:c r="M262" s="53" t="n">
        <x:v>-94.4871</x:v>
      </x:c>
      <x:c r="N262" s="54" t="n">
        <x:v>400</x:v>
      </x:c>
      <x:c r="O262" s="54" t="n">
        <x:v>0</x:v>
      </x:c>
    </x:row>
    <x:row r="263">
      <x:c r="A263" s="54" t="n">
        <x:v>259</x:v>
      </x:c>
      <x:c r="B263" s="54" t="n">
        <x:v>10</x:v>
      </x:c>
      <x:c r="C263" s="54" t="n">
        <x:v>19</x:v>
      </x:c>
      <x:c r="D263" s="54" t="n">
        <x:v>0</x:v>
      </x:c>
      <x:c r="E263" s="54" t="n">
        <x:v>68827</x:v>
      </x:c>
      <x:c r="F263" s="54" t="n">
        <x:v>68689</x:v>
      </x:c>
      <x:c r="G263" s="54" t="n">
        <x:v>38739</x:v>
      </x:c>
      <x:c r="H263" s="54" t="n">
        <x:v>29980</x:v>
      </x:c>
      <x:c r="I263" s="54" t="n">
        <x:v>19487</x:v>
      </x:c>
      <x:c r="J263" s="54" t="n">
        <x:v>76</x:v>
      </x:c>
      <x:c r="K263" s="53" t="n">
        <x:v>8.807888</x:v>
      </x:c>
      <x:c r="L263" s="53" t="n">
        <x:v>37.403468</x:v>
      </x:c>
      <x:c r="M263" s="53" t="n">
        <x:v>-121.974908</x:v>
      </x:c>
      <x:c r="N263" s="54" t="n">
        <x:v>250</x:v>
      </x:c>
      <x:c r="O263" s="54" t="n">
        <x:v>1</x:v>
      </x:c>
    </x:row>
    <x:row r="264">
      <x:c r="A264" s="54" t="n">
        <x:v>260</x:v>
      </x:c>
      <x:c r="B264" s="54" t="n">
        <x:v>8</x:v>
      </x:c>
      <x:c r="C264" s="54" t="n">
        <x:v>15</x:v>
      </x:c>
      <x:c r="D264" s="54" t="n">
        <x:v>0</x:v>
      </x:c>
      <x:c r="E264" s="54" t="n">
        <x:v>80663</x:v>
      </x:c>
      <x:c r="F264" s="54" t="n">
        <x:v>68520</x:v>
      </x:c>
      <x:c r="G264" s="54" t="n">
        <x:v>22317</x:v>
      </x:c>
      <x:c r="H264" s="54" t="n">
        <x:v>34691</x:v>
      </x:c>
      <x:c r="I264" s="54" t="n">
        <x:v>19080</x:v>
      </x:c>
      <x:c r="J264" s="54" t="n">
        <x:v>54</x:v>
      </x:c>
      <x:c r="K264" s="53" t="n">
        <x:v>10.438681</x:v>
      </x:c>
      <x:c r="L264" s="53" t="n">
        <x:v>40.807664</x:v>
      </x:c>
      <x:c r="M264" s="53" t="n">
        <x:v>-74.069833</x:v>
      </x:c>
      <x:c r="N264" s="54" t="n">
        <x:v>250</x:v>
      </x:c>
      <x:c r="O264" s="54" t="n">
        <x:v>0</x:v>
      </x:c>
    </x:row>
    <x:row r="265">
      <x:c r="A265" s="54" t="n">
        <x:v>261</x:v>
      </x:c>
      <x:c r="B265" s="54" t="n">
        <x:v>6</x:v>
      </x:c>
      <x:c r="C265" s="54" t="n">
        <x:v>11</x:v>
      </x:c>
      <x:c r="D265" s="54" t="n">
        <x:v>0</x:v>
      </x:c>
      <x:c r="E265" s="54" t="n">
        <x:v>70492</x:v>
      </x:c>
      <x:c r="F265" s="54" t="n">
        <x:v>63174</x:v>
      </x:c>
      <x:c r="G265" s="54" t="n">
        <x:v>23459</x:v>
      </x:c>
      <x:c r="H265" s="54" t="n">
        <x:v>10890</x:v>
      </x:c>
      <x:c r="I265" s="54" t="n">
        <x:v>5445</x:v>
      </x:c>
      <x:c r="J265" s="54" t="n">
        <x:v>117</x:v>
      </x:c>
      <x:c r="K265" s="53" t="n">
        <x:v>9.603284</x:v>
      </x:c>
      <x:c r="L265" s="53" t="n">
        <x:v>33.9509</x:v>
      </x:c>
      <x:c r="M265" s="53" t="n">
        <x:v>-118.3441</x:v>
      </x:c>
      <x:c r="N265" s="54" t="n">
        <x:v>350</x:v>
      </x:c>
      <x:c r="O265" s="54" t="n">
        <x:v>0</x:v>
      </x:c>
    </x:row>
    <x:row r="266">
      <x:c r="A266" s="54" t="n">
        <x:v>262</x:v>
      </x:c>
      <x:c r="B266" s="54" t="n">
        <x:v>5</x:v>
      </x:c>
      <x:c r="C266" s="54" t="n">
        <x:v>10</x:v>
      </x:c>
      <x:c r="D266" s="54" t="n">
        <x:v>1</x:v>
      </x:c>
      <x:c r="E266" s="54" t="n">
        <x:v>69045</x:v>
      </x:c>
      <x:c r="F266" s="54" t="n">
        <x:v>59941</x:v>
      </x:c>
      <x:c r="G266" s="54" t="n">
        <x:v>9504</x:v>
      </x:c>
      <x:c r="H266" s="54" t="n">
        <x:v>4795</x:v>
      </x:c>
      <x:c r="I266" s="54" t="n">
        <x:v>2158</x:v>
      </x:c>
      <x:c r="J266" s="54" t="n">
        <x:v>120</x:v>
      </x:c>
      <x:c r="K266" s="53" t="n">
        <x:v>8.632123</x:v>
      </x:c>
      <x:c r="L266" s="53" t="n">
        <x:v>39.0491</x:v>
      </x:c>
      <x:c r="M266" s="53" t="n">
        <x:v>-94.4871</x:v>
      </x:c>
      <x:c r="N266" s="54" t="n">
        <x:v>400</x:v>
      </x:c>
      <x:c r="O266" s="54" t="n">
        <x:v>0</x:v>
      </x:c>
    </x:row>
    <x:row r="267">
      <x:c r="A267" s="54" t="n">
        <x:v>263</x:v>
      </x:c>
      <x:c r="B267" s="54" t="n">
        <x:v>6</x:v>
      </x:c>
      <x:c r="C267" s="54" t="n">
        <x:v>11</x:v>
      </x:c>
      <x:c r="D267" s="54" t="n">
        <x:v>1</x:v>
      </x:c>
      <x:c r="E267" s="54" t="n">
        <x:v>70492</x:v>
      </x:c>
      <x:c r="F267" s="54" t="n">
        <x:v>63201</x:v>
      </x:c>
      <x:c r="G267" s="54" t="n">
        <x:v>20881</x:v>
      </x:c>
      <x:c r="H267" s="54" t="n">
        <x:v>13988</x:v>
      </x:c>
      <x:c r="I267" s="54" t="n">
        <x:v>6994</x:v>
      </x:c>
      <x:c r="J267" s="54" t="n">
        <x:v>115</x:v>
      </x:c>
      <x:c r="K267" s="53" t="n">
        <x:v>9.603284</x:v>
      </x:c>
      <x:c r="L267" s="53" t="n">
        <x:v>33.9509</x:v>
      </x:c>
      <x:c r="M267" s="53" t="n">
        <x:v>-118.3441</x:v>
      </x:c>
      <x:c r="N267" s="54" t="n">
        <x:v>350</x:v>
      </x:c>
      <x:c r="O267" s="54" t="n">
        <x:v>1</x:v>
      </x:c>
    </x:row>
    <x:row r="268">
      <x:c r="A268" s="54" t="n">
        <x:v>264</x:v>
      </x:c>
      <x:c r="B268" s="54" t="n">
        <x:v>8</x:v>
      </x:c>
      <x:c r="C268" s="54" t="n">
        <x:v>16</x:v>
      </x:c>
      <x:c r="D268" s="54" t="n">
        <x:v>0</x:v>
      </x:c>
      <x:c r="E268" s="54" t="n">
        <x:v>80663</x:v>
      </x:c>
      <x:c r="F268" s="54" t="n">
        <x:v>65812</x:v>
      </x:c>
      <x:c r="G268" s="54" t="n">
        <x:v>12709</x:v>
      </x:c>
      <x:c r="H268" s="54" t="n">
        <x:v>37682</x:v>
      </x:c>
      <x:c r="I268" s="54" t="n">
        <x:v>16957</x:v>
      </x:c>
      <x:c r="J268" s="54" t="n">
        <x:v>62</x:v>
      </x:c>
      <x:c r="K268" s="53" t="n">
        <x:v>10.438681</x:v>
      </x:c>
      <x:c r="L268" s="53" t="n">
        <x:v>40.81145</x:v>
      </x:c>
      <x:c r="M268" s="53" t="n">
        <x:v>-74.07075</x:v>
      </x:c>
      <x:c r="N268" s="54" t="n">
        <x:v>350</x:v>
      </x:c>
      <x:c r="O268" s="54" t="n">
        <x:v>0</x:v>
      </x:c>
    </x:row>
    <x:row r="269">
      <x:c r="A269" s="54" t="n">
        <x:v>265</x:v>
      </x:c>
      <x:c r="B269" s="54" t="n">
        <x:v>3</x:v>
      </x:c>
      <x:c r="C269" s="54" t="n">
        <x:v>6</x:v>
      </x:c>
      <x:c r="D269" s="54" t="n">
        <x:v>0</x:v>
      </x:c>
      <x:c r="E269" s="54" t="n">
        <x:v>70649</x:v>
      </x:c>
      <x:c r="F269" s="54" t="n">
        <x:v>48178</x:v>
      </x:c>
      <x:c r="G269" s="54" t="n">
        <x:v>3606</x:v>
      </x:c>
      <x:c r="H269" s="54" t="n">
        <x:v>9888</x:v>
      </x:c>
      <x:c r="I269" s="54" t="n">
        <x:v>4450</x:v>
      </x:c>
      <x:c r="J269" s="54" t="n">
        <x:v>91</x:v>
      </x:c>
      <x:c r="K269" s="53" t="n">
        <x:v>10.033037</x:v>
      </x:c>
      <x:c r="L269" s="53" t="n">
        <x:v>32.7506</x:v>
      </x:c>
      <x:c r="M269" s="53" t="n">
        <x:v>-97.0915</x:v>
      </x:c>
      <x:c r="N269" s="54" t="n">
        <x:v>350</x:v>
      </x:c>
      <x:c r="O269" s="54" t="n">
        <x:v>0</x:v>
      </x:c>
    </x:row>
    <x:row r="270">
      <x:c r="A270" s="54" t="n">
        <x:v>266</x:v>
      </x:c>
      <x:c r="B270" s="54" t="n">
        <x:v>7</x:v>
      </x:c>
      <x:c r="C270" s="54" t="n">
        <x:v>13</x:v>
      </x:c>
      <x:c r="D270" s="54" t="n">
        <x:v>1</x:v>
      </x:c>
      <x:c r="E270" s="54" t="n">
        <x:v>64478</x:v>
      </x:c>
      <x:c r="F270" s="54" t="n">
        <x:v>53732</x:v>
      </x:c>
      <x:c r="G270" s="54" t="n">
        <x:v>15822</x:v>
      </x:c>
      <x:c r="H270" s="54" t="n">
        <x:v>5085</x:v>
      </x:c>
      <x:c r="I270" s="54" t="n">
        <x:v>2797</x:v>
      </x:c>
      <x:c r="J270" s="54" t="n">
        <x:v>129</x:v>
      </x:c>
      <x:c r="K270" s="53" t="n">
        <x:v>8.69743</x:v>
      </x:c>
      <x:c r="L270" s="53" t="n">
        <x:v>25.957</x:v>
      </x:c>
      <x:c r="M270" s="53" t="n">
        <x:v>-80.2425</x:v>
      </x:c>
      <x:c r="N270" s="54" t="n">
        <x:v>400</x:v>
      </x:c>
      <x:c r="O270" s="54" t="n">
        <x:v>0</x:v>
      </x:c>
    </x:row>
    <x:row r="271">
      <x:c r="A271" s="54" t="n">
        <x:v>267</x:v>
      </x:c>
      <x:c r="B271" s="54" t="n">
        <x:v>9</x:v>
      </x:c>
      <x:c r="C271" s="54" t="n">
        <x:v>17</x:v>
      </x:c>
      <x:c r="D271" s="54" t="n">
        <x:v>0</x:v>
      </x:c>
      <x:c r="E271" s="54" t="n">
        <x:v>68324</x:v>
      </x:c>
      <x:c r="F271" s="54" t="n">
        <x:v>66979</x:v>
      </x:c>
      <x:c r="G271" s="54" t="n">
        <x:v>31539</x:v>
      </x:c>
      <x:c r="H271" s="54" t="n">
        <x:v>32482</x:v>
      </x:c>
      <x:c r="I271" s="54" t="n">
        <x:v>19489</x:v>
      </x:c>
      <x:c r="J271" s="54" t="n">
        <x:v>83</x:v>
      </x:c>
      <x:c r="K271" s="53" t="n">
        <x:v>8.474327</x:v>
      </x:c>
      <x:c r="L271" s="53" t="n">
        <x:v>39.9047</x:v>
      </x:c>
      <x:c r="M271" s="53" t="n">
        <x:v>-75.1736</x:v>
      </x:c>
      <x:c r="N271" s="54" t="n">
        <x:v>250</x:v>
      </x:c>
      <x:c r="O271" s="54" t="n">
        <x:v>1</x:v>
      </x:c>
    </x:row>
    <x:row r="272">
      <x:c r="A272" s="54" t="n">
        <x:v>268</x:v>
      </x:c>
      <x:c r="B272" s="54" t="n">
        <x:v>9</x:v>
      </x:c>
      <x:c r="C272" s="54" t="n">
        <x:v>17</x:v>
      </x:c>
      <x:c r="D272" s="54" t="n">
        <x:v>0</x:v>
      </x:c>
      <x:c r="E272" s="54" t="n">
        <x:v>68324</x:v>
      </x:c>
      <x:c r="F272" s="54" t="n">
        <x:v>62631</x:v>
      </x:c>
      <x:c r="G272" s="54" t="n">
        <x:v>27066</x:v>
      </x:c>
      <x:c r="H272" s="54" t="n">
        <x:v>22383</x:v>
      </x:c>
      <x:c r="I272" s="54" t="n">
        <x:v>13430</x:v>
      </x:c>
      <x:c r="J272" s="54" t="n">
        <x:v>71</x:v>
      </x:c>
      <x:c r="K272" s="53" t="n">
        <x:v>8.474327</x:v>
      </x:c>
      <x:c r="L272" s="53" t="n">
        <x:v>39.9047</x:v>
      </x:c>
      <x:c r="M272" s="53" t="n">
        <x:v>-75.1736</x:v>
      </x:c>
      <x:c r="N272" s="54" t="n">
        <x:v>250</x:v>
      </x:c>
      <x:c r="O272" s="54" t="n">
        <x:v>1</x:v>
      </x:c>
    </x:row>
    <x:row r="273">
      <x:c r="A273" s="54" t="n">
        <x:v>269</x:v>
      </x:c>
      <x:c r="B273" s="54" t="n">
        <x:v>6</x:v>
      </x:c>
      <x:c r="C273" s="54" t="n">
        <x:v>11</x:v>
      </x:c>
      <x:c r="D273" s="54" t="n">
        <x:v>0</x:v>
      </x:c>
      <x:c r="E273" s="54" t="n">
        <x:v>70492</x:v>
      </x:c>
      <x:c r="F273" s="54" t="n">
        <x:v>51383</x:v>
      </x:c>
      <x:c r="G273" s="54" t="n">
        <x:v>19802</x:v>
      </x:c>
      <x:c r="H273" s="54" t="n">
        <x:v>10921</x:v>
      </x:c>
      <x:c r="I273" s="54" t="n">
        <x:v>5461</x:v>
      </x:c>
      <x:c r="J273" s="54" t="n">
        <x:v>101</x:v>
      </x:c>
      <x:c r="K273" s="53" t="n">
        <x:v>9.603284</x:v>
      </x:c>
      <x:c r="L273" s="53" t="n">
        <x:v>33.9509</x:v>
      </x:c>
      <x:c r="M273" s="53" t="n">
        <x:v>-118.3441</x:v>
      </x:c>
      <x:c r="N273" s="54" t="n">
        <x:v>350</x:v>
      </x:c>
      <x:c r="O273" s="54" t="n">
        <x:v>0</x:v>
      </x:c>
    </x:row>
    <x:row r="274">
      <x:c r="A274" s="54" t="n">
        <x:v>270</x:v>
      </x:c>
      <x:c r="B274" s="54" t="n">
        <x:v>1</x:v>
      </x:c>
      <x:c r="C274" s="54" t="n">
        <x:v>1</x:v>
      </x:c>
      <x:c r="D274" s="54" t="n">
        <x:v>3</x:v>
      </x:c>
      <x:c r="E274" s="54" t="n">
        <x:v>68239</x:v>
      </x:c>
      <x:c r="F274" s="54" t="n">
        <x:v>52108</x:v>
      </x:c>
      <x:c r="G274" s="54" t="n">
        <x:v>29154</x:v>
      </x:c>
      <x:c r="H274" s="54" t="n">
        <x:v>21188</x:v>
      </x:c>
      <x:c r="I274" s="54" t="n">
        <x:v>12289</x:v>
      </x:c>
      <x:c r="J274" s="54" t="n">
        <x:v>73</x:v>
      </x:c>
      <x:c r="K274" s="53" t="n">
        <x:v>9.391018</x:v>
      </x:c>
      <x:c r="L274" s="53" t="n">
        <x:v>33.7565</x:v>
      </x:c>
      <x:c r="M274" s="53" t="n">
        <x:v>-84.4038</x:v>
      </x:c>
      <x:c r="N274" s="54" t="n">
        <x:v>250</x:v>
      </x:c>
      <x:c r="O274" s="54" t="n">
        <x:v>0</x:v>
      </x:c>
    </x:row>
    <x:row r="275">
      <x:c r="A275" s="54" t="n">
        <x:v>271</x:v>
      </x:c>
      <x:c r="B275" s="54" t="n">
        <x:v>3</x:v>
      </x:c>
      <x:c r="C275" s="54" t="n">
        <x:v>6</x:v>
      </x:c>
      <x:c r="D275" s="54" t="n">
        <x:v>1</x:v>
      </x:c>
      <x:c r="E275" s="54" t="n">
        <x:v>70649</x:v>
      </x:c>
      <x:c r="F275" s="54" t="n">
        <x:v>56417</x:v>
      </x:c>
      <x:c r="G275" s="54" t="n">
        <x:v>4177</x:v>
      </x:c>
      <x:c r="H275" s="54" t="n">
        <x:v>4513</x:v>
      </x:c>
      <x:c r="I275" s="54" t="n">
        <x:v>2031</x:v>
      </x:c>
      <x:c r="J275" s="54" t="n">
        <x:v>110</x:v>
      </x:c>
      <x:c r="K275" s="53" t="n">
        <x:v>10.033037</x:v>
      </x:c>
      <x:c r="L275" s="53" t="n">
        <x:v>32.7506</x:v>
      </x:c>
      <x:c r="M275" s="53" t="n">
        <x:v>-97.0915</x:v>
      </x:c>
      <x:c r="N275" s="54" t="n">
        <x:v>350</x:v>
      </x:c>
      <x:c r="O275" s="54" t="n">
        <x:v>0</x:v>
      </x:c>
    </x:row>
    <x:row r="276">
      <x:c r="A276" s="54" t="n">
        <x:v>272</x:v>
      </x:c>
      <x:c r="B276" s="54" t="n">
        <x:v>4</x:v>
      </x:c>
      <x:c r="C276" s="54" t="n">
        <x:v>7</x:v>
      </x:c>
      <x:c r="D276" s="54" t="n">
        <x:v>0</x:v>
      </x:c>
      <x:c r="E276" s="54" t="n">
        <x:v>68777</x:v>
      </x:c>
      <x:c r="F276" s="54" t="n">
        <x:v>65023</x:v>
      </x:c>
      <x:c r="G276" s="54" t="n">
        <x:v>25115</x:v>
      </x:c>
      <x:c r="H276" s="54" t="n">
        <x:v>28316</x:v>
      </x:c>
      <x:c r="I276" s="54" t="n">
        <x:v>16990</x:v>
      </x:c>
      <x:c r="J276" s="54" t="n">
        <x:v>99</x:v>
      </x:c>
      <x:c r="K276" s="53" t="n">
        <x:v>9.092387</x:v>
      </x:c>
      <x:c r="L276" s="53" t="n">
        <x:v>29.6852</x:v>
      </x:c>
      <x:c r="M276" s="53" t="n">
        <x:v>-95.407</x:v>
      </x:c>
      <x:c r="N276" s="54" t="n">
        <x:v>250</x:v>
      </x:c>
      <x:c r="O276" s="54" t="n">
        <x:v>1</x:v>
      </x:c>
    </x:row>
    <x:row r="277">
      <x:c r="A277" s="54" t="n">
        <x:v>273</x:v>
      </x:c>
      <x:c r="B277" s="54" t="n">
        <x:v>4</x:v>
      </x:c>
      <x:c r="C277" s="54" t="n">
        <x:v>7</x:v>
      </x:c>
      <x:c r="D277" s="54" t="n">
        <x:v>2</x:v>
      </x:c>
      <x:c r="E277" s="54" t="n">
        <x:v>68777</x:v>
      </x:c>
      <x:c r="F277" s="54" t="n">
        <x:v>62379</x:v>
      </x:c>
      <x:c r="G277" s="54" t="n">
        <x:v>23366</x:v>
      </x:c>
      <x:c r="H277" s="54" t="n">
        <x:v>30463</x:v>
      </x:c>
      <x:c r="I277" s="54" t="n">
        <x:v>18278</x:v>
      </x:c>
      <x:c r="J277" s="54" t="n">
        <x:v>83</x:v>
      </x:c>
      <x:c r="K277" s="53" t="n">
        <x:v>9.092387</x:v>
      </x:c>
      <x:c r="L277" s="53" t="n">
        <x:v>29.6852</x:v>
      </x:c>
      <x:c r="M277" s="53" t="n">
        <x:v>-95.407</x:v>
      </x:c>
      <x:c r="N277" s="54" t="n">
        <x:v>250</x:v>
      </x:c>
      <x:c r="O277" s="54" t="n">
        <x:v>1</x:v>
      </x:c>
    </x:row>
    <x:row r="278">
      <x:c r="A278" s="54" t="n">
        <x:v>274</x:v>
      </x:c>
      <x:c r="B278" s="54" t="n">
        <x:v>9</x:v>
      </x:c>
      <x:c r="C278" s="54" t="n">
        <x:v>17</x:v>
      </x:c>
      <x:c r="D278" s="54" t="n">
        <x:v>3</x:v>
      </x:c>
      <x:c r="E278" s="54" t="n">
        <x:v>68324</x:v>
      </x:c>
      <x:c r="F278" s="54" t="n">
        <x:v>56697</x:v>
      </x:c>
      <x:c r="G278" s="54" t="n">
        <x:v>27460</x:v>
      </x:c>
      <x:c r="H278" s="54" t="n">
        <x:v>28564</x:v>
      </x:c>
      <x:c r="I278" s="54" t="n">
        <x:v>17138</x:v>
      </x:c>
      <x:c r="J278" s="54" t="n">
        <x:v>77</x:v>
      </x:c>
      <x:c r="K278" s="53" t="n">
        <x:v>8.474327</x:v>
      </x:c>
      <x:c r="L278" s="53" t="n">
        <x:v>39.9047</x:v>
      </x:c>
      <x:c r="M278" s="53" t="n">
        <x:v>-75.1736</x:v>
      </x:c>
      <x:c r="N278" s="54" t="n">
        <x:v>250</x:v>
      </x:c>
      <x:c r="O278" s="54" t="n">
        <x:v>1</x:v>
      </x:c>
    </x:row>
    <x:row r="279">
      <x:c r="A279" s="54" t="n">
        <x:v>275</x:v>
      </x:c>
      <x:c r="B279" s="54" t="n">
        <x:v>6</x:v>
      </x:c>
      <x:c r="C279" s="54" t="n">
        <x:v>11</x:v>
      </x:c>
      <x:c r="D279" s="54" t="n">
        <x:v>0</x:v>
      </x:c>
      <x:c r="E279" s="54" t="n">
        <x:v>70492</x:v>
      </x:c>
      <x:c r="F279" s="54" t="n">
        <x:v>55350</x:v>
      </x:c>
      <x:c r="G279" s="54" t="n">
        <x:v>22566</x:v>
      </x:c>
      <x:c r="H279" s="54" t="n">
        <x:v>16737</x:v>
      </x:c>
      <x:c r="I279" s="54" t="n">
        <x:v>8369</x:v>
      </x:c>
      <x:c r="J279" s="54" t="n">
        <x:v>93</x:v>
      </x:c>
      <x:c r="K279" s="53" t="n">
        <x:v>9.603284</x:v>
      </x:c>
      <x:c r="L279" s="53" t="n">
        <x:v>33.9509</x:v>
      </x:c>
      <x:c r="M279" s="53" t="n">
        <x:v>-118.3441</x:v>
      </x:c>
      <x:c r="N279" s="54" t="n">
        <x:v>350</x:v>
      </x:c>
      <x:c r="O279" s="54" t="n">
        <x:v>0</x:v>
      </x:c>
    </x:row>
    <x:row r="280">
      <x:c r="A280" s="54" t="n">
        <x:v>276</x:v>
      </x:c>
      <x:c r="B280" s="54" t="n">
        <x:v>9</x:v>
      </x:c>
      <x:c r="C280" s="54" t="n">
        <x:v>17</x:v>
      </x:c>
      <x:c r="D280" s="54" t="n">
        <x:v>2</x:v>
      </x:c>
      <x:c r="E280" s="54" t="n">
        <x:v>68324</x:v>
      </x:c>
      <x:c r="F280" s="54" t="n">
        <x:v>58978</x:v>
      </x:c>
      <x:c r="G280" s="54" t="n">
        <x:v>26284</x:v>
      </x:c>
      <x:c r="H280" s="54" t="n">
        <x:v>23780</x:v>
      </x:c>
      <x:c r="I280" s="54" t="n">
        <x:v>14268</x:v>
      </x:c>
      <x:c r="J280" s="54" t="n">
        <x:v>96</x:v>
      </x:c>
      <x:c r="K280" s="53" t="n">
        <x:v>8.474327</x:v>
      </x:c>
      <x:c r="L280" s="53" t="n">
        <x:v>39.9047</x:v>
      </x:c>
      <x:c r="M280" s="53" t="n">
        <x:v>-75.1736</x:v>
      </x:c>
      <x:c r="N280" s="54" t="n">
        <x:v>250</x:v>
      </x:c>
      <x:c r="O280" s="54" t="n">
        <x:v>1</x:v>
      </x:c>
    </x:row>
    <x:row r="281">
      <x:c r="A281" s="54" t="n">
        <x:v>277</x:v>
      </x:c>
      <x:c r="B281" s="54" t="n">
        <x:v>3</x:v>
      </x:c>
      <x:c r="C281" s="54" t="n">
        <x:v>6</x:v>
      </x:c>
      <x:c r="D281" s="54" t="n">
        <x:v>1</x:v>
      </x:c>
      <x:c r="E281" s="54" t="n">
        <x:v>70649</x:v>
      </x:c>
      <x:c r="F281" s="54" t="n">
        <x:v>55761</x:v>
      </x:c>
      <x:c r="G281" s="54" t="n">
        <x:v>8241</x:v>
      </x:c>
      <x:c r="H281" s="54" t="n">
        <x:v>10783</x:v>
      </x:c>
      <x:c r="I281" s="54" t="n">
        <x:v>4852</x:v>
      </x:c>
      <x:c r="J281" s="54" t="n">
        <x:v>116</x:v>
      </x:c>
      <x:c r="K281" s="53" t="n">
        <x:v>10.033037</x:v>
      </x:c>
      <x:c r="L281" s="53" t="n">
        <x:v>32.7506</x:v>
      </x:c>
      <x:c r="M281" s="53" t="n">
        <x:v>-97.0915</x:v>
      </x:c>
      <x:c r="N281" s="54" t="n">
        <x:v>350</x:v>
      </x:c>
      <x:c r="O281" s="54" t="n">
        <x:v>0</x:v>
      </x:c>
    </x:row>
    <x:row r="282">
      <x:c r="A282" s="54" t="n">
        <x:v>278</x:v>
      </x:c>
      <x:c r="B282" s="54" t="n">
        <x:v>6</x:v>
      </x:c>
      <x:c r="C282" s="54" t="n">
        <x:v>11</x:v>
      </x:c>
      <x:c r="D282" s="54" t="n">
        <x:v>0</x:v>
      </x:c>
      <x:c r="E282" s="54" t="n">
        <x:v>70492</x:v>
      </x:c>
      <x:c r="F282" s="54" t="n">
        <x:v>62839</x:v>
      </x:c>
      <x:c r="G282" s="54" t="n">
        <x:v>22993</x:v>
      </x:c>
      <x:c r="H282" s="54" t="n">
        <x:v>16292</x:v>
      </x:c>
      <x:c r="I282" s="54" t="n">
        <x:v>8146</x:v>
      </x:c>
      <x:c r="J282" s="54" t="n">
        <x:v>95</x:v>
      </x:c>
      <x:c r="K282" s="53" t="n">
        <x:v>9.603284</x:v>
      </x:c>
      <x:c r="L282" s="53" t="n">
        <x:v>33.9509</x:v>
      </x:c>
      <x:c r="M282" s="53" t="n">
        <x:v>-118.3441</x:v>
      </x:c>
      <x:c r="N282" s="54" t="n">
        <x:v>350</x:v>
      </x:c>
      <x:c r="O282" s="54" t="n">
        <x:v>0</x:v>
      </x:c>
    </x:row>
    <x:row r="283">
      <x:c r="A283" s="54" t="n">
        <x:v>279</x:v>
      </x:c>
      <x:c r="B283" s="54" t="n">
        <x:v>3</x:v>
      </x:c>
      <x:c r="C283" s="54" t="n">
        <x:v>6</x:v>
      </x:c>
      <x:c r="D283" s="54" t="n">
        <x:v>0</x:v>
      </x:c>
      <x:c r="E283" s="54" t="n">
        <x:v>70649</x:v>
      </x:c>
      <x:c r="F283" s="54" t="n">
        <x:v>62501</x:v>
      </x:c>
      <x:c r="G283" s="54" t="n">
        <x:v>12087</x:v>
      </x:c>
      <x:c r="H283" s="54" t="n">
        <x:v>12255</x:v>
      </x:c>
      <x:c r="I283" s="54" t="n">
        <x:v>5515</x:v>
      </x:c>
      <x:c r="J283" s="54" t="n">
        <x:v>116</x:v>
      </x:c>
      <x:c r="K283" s="53" t="n">
        <x:v>10.033037</x:v>
      </x:c>
      <x:c r="L283" s="53" t="n">
        <x:v>32.7506</x:v>
      </x:c>
      <x:c r="M283" s="53" t="n">
        <x:v>-97.0915</x:v>
      </x:c>
      <x:c r="N283" s="54" t="n">
        <x:v>350</x:v>
      </x:c>
      <x:c r="O283" s="54" t="n">
        <x:v>0</x:v>
      </x:c>
    </x:row>
    <x:row r="284">
      <x:c r="A284" s="54" t="n">
        <x:v>280</x:v>
      </x:c>
      <x:c r="B284" s="54" t="n">
        <x:v>6</x:v>
      </x:c>
      <x:c r="C284" s="54" t="n">
        <x:v>11</x:v>
      </x:c>
      <x:c r="D284" s="54" t="n">
        <x:v>5</x:v>
      </x:c>
      <x:c r="E284" s="54" t="n">
        <x:v>70492</x:v>
      </x:c>
      <x:c r="F284" s="54" t="n">
        <x:v>62575</x:v>
      </x:c>
      <x:c r="G284" s="54" t="n">
        <x:v>27526</x:v>
      </x:c>
      <x:c r="H284" s="54" t="n">
        <x:v>14155</x:v>
      </x:c>
      <x:c r="I284" s="54" t="n">
        <x:v>7078</x:v>
      </x:c>
      <x:c r="J284" s="54" t="n">
        <x:v>122</x:v>
      </x:c>
      <x:c r="K284" s="53" t="n">
        <x:v>9.603284</x:v>
      </x:c>
      <x:c r="L284" s="53" t="n">
        <x:v>33.9509</x:v>
      </x:c>
      <x:c r="M284" s="53" t="n">
        <x:v>-118.3441</x:v>
      </x:c>
      <x:c r="N284" s="54" t="n">
        <x:v>350</x:v>
      </x:c>
      <x:c r="O284" s="54" t="n">
        <x:v>1</x:v>
      </x:c>
    </x:row>
    <x:row r="285">
      <x:c r="A285" s="54" t="n">
        <x:v>281</x:v>
      </x:c>
      <x:c r="B285" s="54" t="n">
        <x:v>7</x:v>
      </x:c>
      <x:c r="C285" s="54" t="n">
        <x:v>14</x:v>
      </x:c>
      <x:c r="D285" s="54" t="n">
        <x:v>0</x:v>
      </x:c>
      <x:c r="E285" s="54" t="n">
        <x:v>64478</x:v>
      </x:c>
      <x:c r="F285" s="54" t="n">
        <x:v>60527</x:v>
      </x:c>
      <x:c r="G285" s="54" t="n">
        <x:v>14708</x:v>
      </x:c>
      <x:c r="H285" s="54" t="n">
        <x:v>9738</x:v>
      </x:c>
      <x:c r="I285" s="54" t="n">
        <x:v>4382</x:v>
      </x:c>
      <x:c r="J285" s="54" t="n">
        <x:v>142</x:v>
      </x:c>
      <x:c r="K285" s="53" t="n">
        <x:v>8.69743</x:v>
      </x:c>
      <x:c r="L285" s="53" t="n">
        <x:v>25.9549</x:v>
      </x:c>
      <x:c r="M285" s="53" t="n">
        <x:v>-80.2383</x:v>
      </x:c>
      <x:c r="N285" s="54" t="n">
        <x:v>350</x:v>
      </x:c>
      <x:c r="O285" s="54" t="n">
        <x:v>1</x:v>
      </x:c>
    </x:row>
    <x:row r="286">
      <x:c r="A286" s="54" t="n">
        <x:v>282</x:v>
      </x:c>
      <x:c r="B286" s="54" t="n">
        <x:v>11</x:v>
      </x:c>
      <x:c r="C286" s="54" t="n">
        <x:v>21</x:v>
      </x:c>
      <x:c r="D286" s="54" t="n">
        <x:v>0</x:v>
      </x:c>
      <x:c r="E286" s="54" t="n">
        <x:v>66925</x:v>
      </x:c>
      <x:c r="F286" s="54" t="n">
        <x:v>58546</x:v>
      </x:c>
      <x:c r="G286" s="54" t="n">
        <x:v>27429</x:v>
      </x:c>
      <x:c r="H286" s="54" t="n">
        <x:v>34148</x:v>
      </x:c>
      <x:c r="I286" s="54" t="n">
        <x:v>18781</x:v>
      </x:c>
      <x:c r="J286" s="54" t="n">
        <x:v>65</x:v>
      </x:c>
      <x:c r="K286" s="53" t="n">
        <x:v>8.408439</x:v>
      </x:c>
      <x:c r="L286" s="53" t="n">
        <x:v>47.5917</x:v>
      </x:c>
      <x:c r="M286" s="53" t="n">
        <x:v>-122.3272</x:v>
      </x:c>
      <x:c r="N286" s="54" t="n">
        <x:v>250</x:v>
      </x:c>
      <x:c r="O286" s="54" t="n">
        <x:v>1</x:v>
      </x:c>
    </x:row>
    <x:row r="287">
      <x:c r="A287" s="54" t="n">
        <x:v>283</x:v>
      </x:c>
      <x:c r="B287" s="54" t="n">
        <x:v>2</x:v>
      </x:c>
      <x:c r="C287" s="54" t="n">
        <x:v>3</x:v>
      </x:c>
      <x:c r="D287" s="54" t="n">
        <x:v>0</x:v>
      </x:c>
      <x:c r="E287" s="54" t="n">
        <x:v>64146</x:v>
      </x:c>
      <x:c r="F287" s="54" t="n">
        <x:v>56737</x:v>
      </x:c>
      <x:c r="G287" s="54" t="n">
        <x:v>15670</x:v>
      </x:c>
      <x:c r="H287" s="54" t="n">
        <x:v>16740</x:v>
      </x:c>
      <x:c r="I287" s="54" t="n">
        <x:v>10881</x:v>
      </x:c>
      <x:c r="J287" s="54" t="n">
        <x:v>108</x:v>
      </x:c>
      <x:c r="K287" s="53" t="n">
        <x:v>8.671598</x:v>
      </x:c>
      <x:c r="L287" s="53" t="n">
        <x:v>42.0889</x:v>
      </x:c>
      <x:c r="M287" s="53" t="n">
        <x:v>-71.2597</x:v>
      </x:c>
      <x:c r="N287" s="54" t="n">
        <x:v>250</x:v>
      </x:c>
      <x:c r="O287" s="54" t="n">
        <x:v>1</x:v>
      </x:c>
    </x:row>
    <x:row r="288">
      <x:c r="A288" s="54" t="n">
        <x:v>284</x:v>
      </x:c>
      <x:c r="B288" s="54" t="n">
        <x:v>7</x:v>
      </x:c>
      <x:c r="C288" s="54" t="n">
        <x:v>14</x:v>
      </x:c>
      <x:c r="D288" s="54" t="n">
        <x:v>0</x:v>
      </x:c>
      <x:c r="E288" s="54" t="n">
        <x:v>64478</x:v>
      </x:c>
      <x:c r="F288" s="54" t="n">
        <x:v>60629</x:v>
      </x:c>
      <x:c r="G288" s="54" t="n">
        <x:v>11259</x:v>
      </x:c>
      <x:c r="H288" s="54" t="n">
        <x:v>11460</x:v>
      </x:c>
      <x:c r="I288" s="54" t="n">
        <x:v>5157</x:v>
      </x:c>
      <x:c r="J288" s="54" t="n">
        <x:v>123</x:v>
      </x:c>
      <x:c r="K288" s="53" t="n">
        <x:v>8.69743</x:v>
      </x:c>
      <x:c r="L288" s="53" t="n">
        <x:v>25.9549</x:v>
      </x:c>
      <x:c r="M288" s="53" t="n">
        <x:v>-80.2383</x:v>
      </x:c>
      <x:c r="N288" s="54" t="n">
        <x:v>350</x:v>
      </x:c>
      <x:c r="O288" s="54" t="n">
        <x:v>0</x:v>
      </x:c>
    </x:row>
    <x:row r="289">
      <x:c r="A289" s="54" t="n">
        <x:v>285</x:v>
      </x:c>
      <x:c r="B289" s="54" t="n">
        <x:v>8</x:v>
      </x:c>
      <x:c r="C289" s="54" t="n">
        <x:v>15</x:v>
      </x:c>
      <x:c r="D289" s="54" t="n">
        <x:v>2</x:v>
      </x:c>
      <x:c r="E289" s="54" t="n">
        <x:v>80663</x:v>
      </x:c>
      <x:c r="F289" s="54" t="n">
        <x:v>75644</x:v>
      </x:c>
      <x:c r="G289" s="54" t="n">
        <x:v>20344</x:v>
      </x:c>
      <x:c r="H289" s="54" t="n">
        <x:v>36729</x:v>
      </x:c>
      <x:c r="I289" s="54" t="n">
        <x:v>20201</x:v>
      </x:c>
      <x:c r="J289" s="54" t="n">
        <x:v>76</x:v>
      </x:c>
      <x:c r="K289" s="53" t="n">
        <x:v>10.438681</x:v>
      </x:c>
      <x:c r="L289" s="53" t="n">
        <x:v>40.807664</x:v>
      </x:c>
      <x:c r="M289" s="53" t="n">
        <x:v>-74.069833</x:v>
      </x:c>
      <x:c r="N289" s="54" t="n">
        <x:v>250</x:v>
      </x:c>
      <x:c r="O289" s="54" t="n">
        <x:v>1</x:v>
      </x:c>
    </x:row>
    <x:row r="290">
      <x:c r="A290" s="54" t="n">
        <x:v>286</x:v>
      </x:c>
      <x:c r="B290" s="54" t="n">
        <x:v>2</x:v>
      </x:c>
      <x:c r="C290" s="54" t="n">
        <x:v>3</x:v>
      </x:c>
      <x:c r="D290" s="54" t="n">
        <x:v>1</x:v>
      </x:c>
      <x:c r="E290" s="54" t="n">
        <x:v>64146</x:v>
      </x:c>
      <x:c r="F290" s="54" t="n">
        <x:v>51869</x:v>
      </x:c>
      <x:c r="G290" s="54" t="n">
        <x:v>15088</x:v>
      </x:c>
      <x:c r="H290" s="54" t="n">
        <x:v>7792</x:v>
      </x:c>
      <x:c r="I290" s="54" t="n">
        <x:v>5065</x:v>
      </x:c>
      <x:c r="J290" s="54" t="n">
        <x:v>97</x:v>
      </x:c>
      <x:c r="K290" s="53" t="n">
        <x:v>8.671598</x:v>
      </x:c>
      <x:c r="L290" s="53" t="n">
        <x:v>42.0889</x:v>
      </x:c>
      <x:c r="M290" s="53" t="n">
        <x:v>-71.2597</x:v>
      </x:c>
      <x:c r="N290" s="54" t="n">
        <x:v>250</x:v>
      </x:c>
      <x:c r="O290" s="54" t="n">
        <x:v>0</x:v>
      </x:c>
    </x:row>
    <x:row r="291">
      <x:c r="A291" s="54" t="n">
        <x:v>287</x:v>
      </x:c>
      <x:c r="B291" s="54" t="n">
        <x:v>4</x:v>
      </x:c>
      <x:c r="C291" s="54" t="n">
        <x:v>7</x:v>
      </x:c>
      <x:c r="D291" s="54" t="n">
        <x:v>0</x:v>
      </x:c>
      <x:c r="E291" s="54" t="n">
        <x:v>68777</x:v>
      </x:c>
      <x:c r="F291" s="54" t="n">
        <x:v>57331</x:v>
      </x:c>
      <x:c r="G291" s="54" t="n">
        <x:v>14799</x:v>
      </x:c>
      <x:c r="H291" s="54" t="n">
        <x:v>13620</x:v>
      </x:c>
      <x:c r="I291" s="54" t="n">
        <x:v>8172</x:v>
      </x:c>
      <x:c r="J291" s="54" t="n">
        <x:v>65</x:v>
      </x:c>
      <x:c r="K291" s="53" t="n">
        <x:v>9.092387</x:v>
      </x:c>
      <x:c r="L291" s="53" t="n">
        <x:v>29.6852</x:v>
      </x:c>
      <x:c r="M291" s="53" t="n">
        <x:v>-95.407</x:v>
      </x:c>
      <x:c r="N291" s="54" t="n">
        <x:v>250</x:v>
      </x:c>
      <x:c r="O291" s="54" t="n">
        <x:v>0</x:v>
      </x:c>
    </x:row>
    <x:row r="292">
      <x:c r="A292" s="54" t="n">
        <x:v>288</x:v>
      </x:c>
      <x:c r="B292" s="54" t="n">
        <x:v>11</x:v>
      </x:c>
      <x:c r="C292" s="54" t="n">
        <x:v>21</x:v>
      </x:c>
      <x:c r="D292" s="54" t="n">
        <x:v>0</x:v>
      </x:c>
      <x:c r="E292" s="54" t="n">
        <x:v>66925</x:v>
      </x:c>
      <x:c r="F292" s="54" t="n">
        <x:v>58881</x:v>
      </x:c>
      <x:c r="G292" s="54" t="n">
        <x:v>32845</x:v>
      </x:c>
      <x:c r="H292" s="54" t="n">
        <x:v>32268</x:v>
      </x:c>
      <x:c r="I292" s="54" t="n">
        <x:v>17747</x:v>
      </x:c>
      <x:c r="J292" s="54" t="n">
        <x:v>85</x:v>
      </x:c>
      <x:c r="K292" s="53" t="n">
        <x:v>8.408439</x:v>
      </x:c>
      <x:c r="L292" s="53" t="n">
        <x:v>47.5917</x:v>
      </x:c>
      <x:c r="M292" s="53" t="n">
        <x:v>-122.3272</x:v>
      </x:c>
      <x:c r="N292" s="54" t="n">
        <x:v>250</x:v>
      </x:c>
      <x:c r="O292" s="54" t="n">
        <x:v>1</x:v>
      </x:c>
    </x:row>
    <x:row r="293">
      <x:c r="A293" s="54" t="n">
        <x:v>289</x:v>
      </x:c>
      <x:c r="B293" s="54" t="n">
        <x:v>7</x:v>
      </x:c>
      <x:c r="C293" s="54" t="n">
        <x:v>14</x:v>
      </x:c>
      <x:c r="D293" s="54" t="n">
        <x:v>1</x:v>
      </x:c>
      <x:c r="E293" s="54" t="n">
        <x:v>64478</x:v>
      </x:c>
      <x:c r="F293" s="54" t="n">
        <x:v>50864</x:v>
      </x:c>
      <x:c r="G293" s="54" t="n">
        <x:v>10425</x:v>
      </x:c>
      <x:c r="H293" s="54" t="n">
        <x:v>11384</x:v>
      </x:c>
      <x:c r="I293" s="54" t="n">
        <x:v>5123</x:v>
      </x:c>
      <x:c r="J293" s="54" t="n">
        <x:v>111</x:v>
      </x:c>
      <x:c r="K293" s="53" t="n">
        <x:v>8.69743</x:v>
      </x:c>
      <x:c r="L293" s="53" t="n">
        <x:v>25.9549</x:v>
      </x:c>
      <x:c r="M293" s="53" t="n">
        <x:v>-80.2383</x:v>
      </x:c>
      <x:c r="N293" s="54" t="n">
        <x:v>350</x:v>
      </x:c>
      <x:c r="O293" s="54" t="n">
        <x:v>0</x:v>
      </x:c>
    </x:row>
    <x:row r="294">
      <x:c r="A294" s="54" t="n">
        <x:v>290</x:v>
      </x:c>
      <x:c r="B294" s="54" t="n">
        <x:v>10</x:v>
      </x:c>
      <x:c r="C294" s="54" t="n">
        <x:v>19</x:v>
      </x:c>
      <x:c r="D294" s="54" t="n">
        <x:v>0</x:v>
      </x:c>
      <x:c r="E294" s="54" t="n">
        <x:v>68827</x:v>
      </x:c>
      <x:c r="F294" s="54" t="n">
        <x:v>68689</x:v>
      </x:c>
      <x:c r="G294" s="54" t="n">
        <x:v>38199</x:v>
      </x:c>
      <x:c r="H294" s="54" t="n">
        <x:v>31912</x:v>
      </x:c>
      <x:c r="I294" s="54" t="n">
        <x:v>20743</x:v>
      </x:c>
      <x:c r="J294" s="54" t="n">
        <x:v>102</x:v>
      </x:c>
      <x:c r="K294" s="53" t="n">
        <x:v>8.807888</x:v>
      </x:c>
      <x:c r="L294" s="53" t="n">
        <x:v>37.403468</x:v>
      </x:c>
      <x:c r="M294" s="53" t="n">
        <x:v>-121.974908</x:v>
      </x:c>
      <x:c r="N294" s="54" t="n">
        <x:v>250</x:v>
      </x:c>
      <x:c r="O294" s="54" t="n">
        <x:v>1</x:v>
      </x:c>
    </x:row>
    <x:row r="295">
      <x:c r="A295" s="54" t="n">
        <x:v>291</x:v>
      </x:c>
      <x:c r="B295" s="54" t="n">
        <x:v>4</x:v>
      </x:c>
      <x:c r="C295" s="54" t="n">
        <x:v>7</x:v>
      </x:c>
      <x:c r="D295" s="54" t="n">
        <x:v>1</x:v>
      </x:c>
      <x:c r="E295" s="54" t="n">
        <x:v>68777</x:v>
      </x:c>
      <x:c r="F295" s="54" t="n">
        <x:v>68639</x:v>
      </x:c>
      <x:c r="G295" s="54" t="n">
        <x:v>20777</x:v>
      </x:c>
      <x:c r="H295" s="54" t="n">
        <x:v>23880</x:v>
      </x:c>
      <x:c r="I295" s="54" t="n">
        <x:v>14328</x:v>
      </x:c>
      <x:c r="J295" s="54" t="n">
        <x:v>92</x:v>
      </x:c>
      <x:c r="K295" s="53" t="n">
        <x:v>9.092387</x:v>
      </x:c>
      <x:c r="L295" s="53" t="n">
        <x:v>29.6852</x:v>
      </x:c>
      <x:c r="M295" s="53" t="n">
        <x:v>-95.407</x:v>
      </x:c>
      <x:c r="N295" s="54" t="n">
        <x:v>250</x:v>
      </x:c>
      <x:c r="O295" s="54" t="n">
        <x:v>1</x:v>
      </x:c>
    </x:row>
    <x:row r="296">
      <x:c r="A296" s="54" t="n">
        <x:v>292</x:v>
      </x:c>
      <x:c r="B296" s="54" t="n">
        <x:v>6</x:v>
      </x:c>
      <x:c r="C296" s="54" t="n">
        <x:v>11</x:v>
      </x:c>
      <x:c r="D296" s="54" t="n">
        <x:v>0</x:v>
      </x:c>
      <x:c r="E296" s="54" t="n">
        <x:v>70492</x:v>
      </x:c>
      <x:c r="F296" s="54" t="n">
        <x:v>64186</x:v>
      </x:c>
      <x:c r="G296" s="54" t="n">
        <x:v>24462</x:v>
      </x:c>
      <x:c r="H296" s="54" t="n">
        <x:v>8718</x:v>
      </x:c>
      <x:c r="I296" s="54" t="n">
        <x:v>4359</x:v>
      </x:c>
      <x:c r="J296" s="54" t="n">
        <x:v>103</x:v>
      </x:c>
      <x:c r="K296" s="53" t="n">
        <x:v>9.603284</x:v>
      </x:c>
      <x:c r="L296" s="53" t="n">
        <x:v>33.9509</x:v>
      </x:c>
      <x:c r="M296" s="53" t="n">
        <x:v>-118.3441</x:v>
      </x:c>
      <x:c r="N296" s="54" t="n">
        <x:v>350</x:v>
      </x:c>
      <x:c r="O296" s="54" t="n">
        <x:v>0</x:v>
      </x:c>
    </x:row>
    <x:row r="297">
      <x:c r="A297" s="54" t="n">
        <x:v>293</x:v>
      </x:c>
      <x:c r="B297" s="54" t="n">
        <x:v>11</x:v>
      </x:c>
      <x:c r="C297" s="54" t="n">
        <x:v>21</x:v>
      </x:c>
      <x:c r="D297" s="54" t="n">
        <x:v>0</x:v>
      </x:c>
      <x:c r="E297" s="54" t="n">
        <x:v>66925</x:v>
      </x:c>
      <x:c r="F297" s="54" t="n">
        <x:v>63778</x:v>
      </x:c>
      <x:c r="G297" s="54" t="n">
        <x:v>33285</x:v>
      </x:c>
      <x:c r="H297" s="54" t="n">
        <x:v>26259</x:v>
      </x:c>
      <x:c r="I297" s="54" t="n">
        <x:v>14442</x:v>
      </x:c>
      <x:c r="J297" s="54" t="n">
        <x:v>60</x:v>
      </x:c>
      <x:c r="K297" s="53" t="n">
        <x:v>8.408439</x:v>
      </x:c>
      <x:c r="L297" s="53" t="n">
        <x:v>47.5917</x:v>
      </x:c>
      <x:c r="M297" s="53" t="n">
        <x:v>-122.3272</x:v>
      </x:c>
      <x:c r="N297" s="54" t="n">
        <x:v>250</x:v>
      </x:c>
      <x:c r="O297" s="54" t="n">
        <x:v>1</x:v>
      </x:c>
    </x:row>
    <x:row r="298">
      <x:c r="A298" s="54" t="n">
        <x:v>294</x:v>
      </x:c>
      <x:c r="B298" s="54" t="n">
        <x:v>11</x:v>
      </x:c>
      <x:c r="C298" s="54" t="n">
        <x:v>21</x:v>
      </x:c>
      <x:c r="D298" s="54" t="n">
        <x:v>0</x:v>
      </x:c>
      <x:c r="E298" s="54" t="n">
        <x:v>66925</x:v>
      </x:c>
      <x:c r="F298" s="54" t="n">
        <x:v>54642</x:v>
      </x:c>
      <x:c r="G298" s="54" t="n">
        <x:v>27228</x:v>
      </x:c>
      <x:c r="H298" s="54" t="n">
        <x:v>28485</x:v>
      </x:c>
      <x:c r="I298" s="54" t="n">
        <x:v>15667</x:v>
      </x:c>
      <x:c r="J298" s="54" t="n">
        <x:v>74</x:v>
      </x:c>
      <x:c r="K298" s="53" t="n">
        <x:v>8.408439</x:v>
      </x:c>
      <x:c r="L298" s="53" t="n">
        <x:v>47.5917</x:v>
      </x:c>
      <x:c r="M298" s="53" t="n">
        <x:v>-122.3272</x:v>
      </x:c>
      <x:c r="N298" s="54" t="n">
        <x:v>250</x:v>
      </x:c>
      <x:c r="O298" s="54" t="n">
        <x:v>0</x:v>
      </x:c>
    </x:row>
    <x:row r="299">
      <x:c r="A299" s="54" t="n">
        <x:v>295</x:v>
      </x:c>
      <x:c r="B299" s="54" t="n">
        <x:v>10</x:v>
      </x:c>
      <x:c r="C299" s="54" t="n">
        <x:v>19</x:v>
      </x:c>
      <x:c r="D299" s="54" t="n">
        <x:v>0</x:v>
      </x:c>
      <x:c r="E299" s="54" t="n">
        <x:v>68827</x:v>
      </x:c>
      <x:c r="F299" s="54" t="n">
        <x:v>59469</x:v>
      </x:c>
      <x:c r="G299" s="54" t="n">
        <x:v>38000</x:v>
      </x:c>
      <x:c r="H299" s="54" t="n">
        <x:v>14997</x:v>
      </x:c>
      <x:c r="I299" s="54" t="n">
        <x:v>9748</x:v>
      </x:c>
      <x:c r="J299" s="54" t="n">
        <x:v>88</x:v>
      </x:c>
      <x:c r="K299" s="53" t="n">
        <x:v>8.807888</x:v>
      </x:c>
      <x:c r="L299" s="53" t="n">
        <x:v>37.403468</x:v>
      </x:c>
      <x:c r="M299" s="53" t="n">
        <x:v>-121.974908</x:v>
      </x:c>
      <x:c r="N299" s="54" t="n">
        <x:v>250</x:v>
      </x:c>
      <x:c r="O299" s="54" t="n">
        <x:v>1</x:v>
      </x:c>
    </x:row>
    <x:row r="300">
      <x:c r="A300" s="54" t="n">
        <x:v>296</x:v>
      </x:c>
      <x:c r="B300" s="54" t="n">
        <x:v>7</x:v>
      </x:c>
      <x:c r="C300" s="54" t="n">
        <x:v>13</x:v>
      </x:c>
      <x:c r="D300" s="54" t="n">
        <x:v>0</x:v>
      </x:c>
      <x:c r="E300" s="54" t="n">
        <x:v>64478</x:v>
      </x:c>
      <x:c r="F300" s="54" t="n">
        <x:v>51416</x:v>
      </x:c>
      <x:c r="G300" s="54" t="n">
        <x:v>13497</x:v>
      </x:c>
      <x:c r="H300" s="54" t="n">
        <x:v>7898</x:v>
      </x:c>
      <x:c r="I300" s="54" t="n">
        <x:v>4344</x:v>
      </x:c>
      <x:c r="J300" s="54" t="n">
        <x:v>115</x:v>
      </x:c>
      <x:c r="K300" s="53" t="n">
        <x:v>8.69743</x:v>
      </x:c>
      <x:c r="L300" s="53" t="n">
        <x:v>25.957</x:v>
      </x:c>
      <x:c r="M300" s="53" t="n">
        <x:v>-80.2425</x:v>
      </x:c>
      <x:c r="N300" s="54" t="n">
        <x:v>400</x:v>
      </x:c>
      <x:c r="O300" s="54" t="n">
        <x:v>0</x:v>
      </x:c>
    </x:row>
    <x:row r="301">
      <x:c r="A301" s="54" t="n">
        <x:v>297</x:v>
      </x:c>
      <x:c r="B301" s="54" t="n">
        <x:v>1</x:v>
      </x:c>
      <x:c r="C301" s="54" t="n">
        <x:v>1</x:v>
      </x:c>
      <x:c r="D301" s="54" t="n">
        <x:v>0</x:v>
      </x:c>
      <x:c r="E301" s="54" t="n">
        <x:v>68239</x:v>
      </x:c>
      <x:c r="F301" s="54" t="n">
        <x:v>65447</x:v>
      </x:c>
      <x:c r="G301" s="54" t="n">
        <x:v>36642</x:v>
      </x:c>
      <x:c r="H301" s="54" t="n">
        <x:v>19167</x:v>
      </x:c>
      <x:c r="I301" s="54" t="n">
        <x:v>11117</x:v>
      </x:c>
      <x:c r="J301" s="54" t="n">
        <x:v>67</x:v>
      </x:c>
      <x:c r="K301" s="53" t="n">
        <x:v>9.391018</x:v>
      </x:c>
      <x:c r="L301" s="53" t="n">
        <x:v>33.7565</x:v>
      </x:c>
      <x:c r="M301" s="53" t="n">
        <x:v>-84.4038</x:v>
      </x:c>
      <x:c r="N301" s="54" t="n">
        <x:v>250</x:v>
      </x:c>
      <x:c r="O301" s="54" t="n">
        <x:v>1</x:v>
      </x:c>
    </x:row>
    <x:row r="302">
      <x:c r="A302" s="54" t="n">
        <x:v>298</x:v>
      </x:c>
      <x:c r="B302" s="54" t="n">
        <x:v>8</x:v>
      </x:c>
      <x:c r="C302" s="54" t="n">
        <x:v>15</x:v>
      </x:c>
      <x:c r="D302" s="54" t="n">
        <x:v>0</x:v>
      </x:c>
      <x:c r="E302" s="54" t="n">
        <x:v>80663</x:v>
      </x:c>
      <x:c r="F302" s="54" t="n">
        <x:v>72356</x:v>
      </x:c>
      <x:c r="G302" s="54" t="n">
        <x:v>27272</x:v>
      </x:c>
      <x:c r="H302" s="54" t="n">
        <x:v>40605</x:v>
      </x:c>
      <x:c r="I302" s="54" t="n">
        <x:v>22333</x:v>
      </x:c>
      <x:c r="J302" s="54" t="n">
        <x:v>80</x:v>
      </x:c>
      <x:c r="K302" s="53" t="n">
        <x:v>10.438681</x:v>
      </x:c>
      <x:c r="L302" s="53" t="n">
        <x:v>40.807664</x:v>
      </x:c>
      <x:c r="M302" s="53" t="n">
        <x:v>-74.069833</x:v>
      </x:c>
      <x:c r="N302" s="54" t="n">
        <x:v>250</x:v>
      </x:c>
      <x:c r="O302" s="54" t="n">
        <x:v>1</x:v>
      </x:c>
    </x:row>
    <x:row r="303">
      <x:c r="A303" s="54" t="n">
        <x:v>299</x:v>
      </x:c>
      <x:c r="B303" s="54" t="n">
        <x:v>4</x:v>
      </x:c>
      <x:c r="C303" s="54" t="n">
        <x:v>7</x:v>
      </x:c>
      <x:c r="D303" s="54" t="n">
        <x:v>0</x:v>
      </x:c>
      <x:c r="E303" s="54" t="n">
        <x:v>68777</x:v>
      </x:c>
      <x:c r="F303" s="54" t="n">
        <x:v>57280</x:v>
      </x:c>
      <x:c r="G303" s="54" t="n">
        <x:v>20120</x:v>
      </x:c>
      <x:c r="H303" s="54" t="n">
        <x:v>13791</x:v>
      </x:c>
      <x:c r="I303" s="54" t="n">
        <x:v>8275</x:v>
      </x:c>
      <x:c r="J303" s="54" t="n">
        <x:v>76</x:v>
      </x:c>
      <x:c r="K303" s="53" t="n">
        <x:v>9.092387</x:v>
      </x:c>
      <x:c r="L303" s="53" t="n">
        <x:v>29.6852</x:v>
      </x:c>
      <x:c r="M303" s="53" t="n">
        <x:v>-95.407</x:v>
      </x:c>
      <x:c r="N303" s="54" t="n">
        <x:v>250</x:v>
      </x:c>
      <x:c r="O303" s="54" t="n">
        <x:v>0</x:v>
      </x:c>
    </x:row>
    <x:row r="304">
      <x:c r="A304" s="54" t="n">
        <x:v>300</x:v>
      </x:c>
      <x:c r="B304" s="54" t="n">
        <x:v>3</x:v>
      </x:c>
      <x:c r="C304" s="54" t="n">
        <x:v>6</x:v>
      </x:c>
      <x:c r="D304" s="54" t="n">
        <x:v>0</x:v>
      </x:c>
      <x:c r="E304" s="54" t="n">
        <x:v>70649</x:v>
      </x:c>
      <x:c r="F304" s="54" t="n">
        <x:v>56703</x:v>
      </x:c>
      <x:c r="G304" s="54" t="n">
        <x:v>8109</x:v>
      </x:c>
      <x:c r="H304" s="54" t="n">
        <x:v>8300</x:v>
      </x:c>
      <x:c r="I304" s="54" t="n">
        <x:v>3735</x:v>
      </x:c>
      <x:c r="J304" s="54" t="n">
        <x:v>88</x:v>
      </x:c>
      <x:c r="K304" s="53" t="n">
        <x:v>10.033037</x:v>
      </x:c>
      <x:c r="L304" s="53" t="n">
        <x:v>32.7506</x:v>
      </x:c>
      <x:c r="M304" s="53" t="n">
        <x:v>-97.0915</x:v>
      </x:c>
      <x:c r="N304" s="54" t="n">
        <x:v>350</x:v>
      </x:c>
      <x:c r="O304" s="54" t="n">
        <x:v>0</x:v>
      </x:c>
    </x:row>
    <x:row r="305">
      <x:c r="A305" s="54" t="n">
        <x:v>301</x:v>
      </x:c>
      <x:c r="B305" s="54" t="n">
        <x:v>6</x:v>
      </x:c>
      <x:c r="C305" s="54" t="n">
        <x:v>11</x:v>
      </x:c>
      <x:c r="D305" s="54" t="n">
        <x:v>0</x:v>
      </x:c>
      <x:c r="E305" s="54" t="n">
        <x:v>70492</x:v>
      </x:c>
      <x:c r="F305" s="54" t="n">
        <x:v>59438</x:v>
      </x:c>
      <x:c r="G305" s="54" t="n">
        <x:v>29767</x:v>
      </x:c>
      <x:c r="H305" s="54" t="n">
        <x:v>11427</x:v>
      </x:c>
      <x:c r="I305" s="54" t="n">
        <x:v>5714</x:v>
      </x:c>
      <x:c r="J305" s="54" t="n">
        <x:v>107</x:v>
      </x:c>
      <x:c r="K305" s="53" t="n">
        <x:v>9.603284</x:v>
      </x:c>
      <x:c r="L305" s="53" t="n">
        <x:v>33.9509</x:v>
      </x:c>
      <x:c r="M305" s="53" t="n">
        <x:v>-118.3441</x:v>
      </x:c>
      <x:c r="N305" s="54" t="n">
        <x:v>350</x:v>
      </x:c>
      <x:c r="O305" s="54" t="n">
        <x:v>0</x:v>
      </x:c>
    </x:row>
    <x:row r="306">
      <x:c r="A306" s="54" t="n">
        <x:v>302</x:v>
      </x:c>
      <x:c r="B306" s="54" t="n">
        <x:v>8</x:v>
      </x:c>
      <x:c r="C306" s="54" t="n">
        <x:v>15</x:v>
      </x:c>
      <x:c r="D306" s="54" t="n">
        <x:v>0</x:v>
      </x:c>
      <x:c r="E306" s="54" t="n">
        <x:v>80663</x:v>
      </x:c>
      <x:c r="F306" s="54" t="n">
        <x:v>70235</x:v>
      </x:c>
      <x:c r="G306" s="54" t="n">
        <x:v>19139</x:v>
      </x:c>
      <x:c r="H306" s="54" t="n">
        <x:v>43085</x:v>
      </x:c>
      <x:c r="I306" s="54" t="n">
        <x:v>23697</x:v>
      </x:c>
      <x:c r="J306" s="54" t="n">
        <x:v>72</x:v>
      </x:c>
      <x:c r="K306" s="53" t="n">
        <x:v>10.438681</x:v>
      </x:c>
      <x:c r="L306" s="53" t="n">
        <x:v>40.807664</x:v>
      </x:c>
      <x:c r="M306" s="53" t="n">
        <x:v>-74.069833</x:v>
      </x:c>
      <x:c r="N306" s="54" t="n">
        <x:v>250</x:v>
      </x:c>
      <x:c r="O306" s="54" t="n">
        <x:v>0</x:v>
      </x:c>
    </x:row>
    <x:row r="307">
      <x:c r="A307" s="54" t="n">
        <x:v>303</x:v>
      </x:c>
      <x:c r="B307" s="54" t="n">
        <x:v>8</x:v>
      </x:c>
      <x:c r="C307" s="54" t="n">
        <x:v>16</x:v>
      </x:c>
      <x:c r="D307" s="54" t="n">
        <x:v>0</x:v>
      </x:c>
      <x:c r="E307" s="54" t="n">
        <x:v>80663</x:v>
      </x:c>
      <x:c r="F307" s="54" t="n">
        <x:v>73249</x:v>
      </x:c>
      <x:c r="G307" s="54" t="n">
        <x:v>17647</x:v>
      </x:c>
      <x:c r="H307" s="54" t="n">
        <x:v>48051</x:v>
      </x:c>
      <x:c r="I307" s="54" t="n">
        <x:v>21623</x:v>
      </x:c>
      <x:c r="J307" s="54" t="n">
        <x:v>84</x:v>
      </x:c>
      <x:c r="K307" s="53" t="n">
        <x:v>10.438681</x:v>
      </x:c>
      <x:c r="L307" s="53" t="n">
        <x:v>40.81145</x:v>
      </x:c>
      <x:c r="M307" s="53" t="n">
        <x:v>-74.07075</x:v>
      </x:c>
      <x:c r="N307" s="54" t="n">
        <x:v>350</x:v>
      </x:c>
      <x:c r="O307" s="54" t="n">
        <x:v>1</x:v>
      </x:c>
    </x:row>
    <x:row r="308">
      <x:c r="A308" s="54" t="n">
        <x:v>304</x:v>
      </x:c>
      <x:c r="B308" s="54" t="n">
        <x:v>3</x:v>
      </x:c>
      <x:c r="C308" s="54" t="n">
        <x:v>6</x:v>
      </x:c>
      <x:c r="D308" s="54" t="n">
        <x:v>1</x:v>
      </x:c>
      <x:c r="E308" s="54" t="n">
        <x:v>70649</x:v>
      </x:c>
      <x:c r="F308" s="54" t="n">
        <x:v>62034</x:v>
      </x:c>
      <x:c r="G308" s="54" t="n">
        <x:v>9597</x:v>
      </x:c>
      <x:c r="H308" s="54" t="n">
        <x:v>9676</x:v>
      </x:c>
      <x:c r="I308" s="54" t="n">
        <x:v>4354</x:v>
      </x:c>
      <x:c r="J308" s="54" t="n">
        <x:v>98</x:v>
      </x:c>
      <x:c r="K308" s="53" t="n">
        <x:v>10.033037</x:v>
      </x:c>
      <x:c r="L308" s="53" t="n">
        <x:v>32.7506</x:v>
      </x:c>
      <x:c r="M308" s="53" t="n">
        <x:v>-97.0915</x:v>
      </x:c>
      <x:c r="N308" s="54" t="n">
        <x:v>350</x:v>
      </x:c>
      <x:c r="O308" s="54" t="n">
        <x:v>0</x:v>
      </x:c>
    </x:row>
    <x:row r="309">
      <x:c r="A309" s="54" t="n">
        <x:v>305</x:v>
      </x:c>
      <x:c r="B309" s="54" t="n">
        <x:v>1</x:v>
      </x:c>
      <x:c r="C309" s="54" t="n">
        <x:v>1</x:v>
      </x:c>
      <x:c r="D309" s="54" t="n">
        <x:v>2</x:v>
      </x:c>
      <x:c r="E309" s="54" t="n">
        <x:v>68239</x:v>
      </x:c>
      <x:c r="F309" s="54" t="n">
        <x:v>61630</x:v>
      </x:c>
      <x:c r="G309" s="54" t="n">
        <x:v>35863</x:v>
      </x:c>
      <x:c r="H309" s="54" t="n">
        <x:v>23503</x:v>
      </x:c>
      <x:c r="I309" s="54" t="n">
        <x:v>13632</x:v>
      </x:c>
      <x:c r="J309" s="54" t="n">
        <x:v>65</x:v>
      </x:c>
      <x:c r="K309" s="53" t="n">
        <x:v>9.391018</x:v>
      </x:c>
      <x:c r="L309" s="53" t="n">
        <x:v>33.7565</x:v>
      </x:c>
      <x:c r="M309" s="53" t="n">
        <x:v>-84.4038</x:v>
      </x:c>
      <x:c r="N309" s="54" t="n">
        <x:v>250</x:v>
      </x:c>
      <x:c r="O309" s="54" t="n">
        <x:v>1</x:v>
      </x:c>
    </x:row>
    <x:row r="310">
      <x:c r="A310" s="54" t="n">
        <x:v>306</x:v>
      </x:c>
      <x:c r="B310" s="54" t="n">
        <x:v>6</x:v>
      </x:c>
      <x:c r="C310" s="54" t="n">
        <x:v>11</x:v>
      </x:c>
      <x:c r="D310" s="54" t="n">
        <x:v>0</x:v>
      </x:c>
      <x:c r="E310" s="54" t="n">
        <x:v>70492</x:v>
      </x:c>
      <x:c r="F310" s="54" t="n">
        <x:v>61296</x:v>
      </x:c>
      <x:c r="G310" s="54" t="n">
        <x:v>27613</x:v>
      </x:c>
      <x:c r="H310" s="54" t="n">
        <x:v>19363</x:v>
      </x:c>
      <x:c r="I310" s="54" t="n">
        <x:v>9682</x:v>
      </x:c>
      <x:c r="J310" s="54" t="n">
        <x:v>104</x:v>
      </x:c>
      <x:c r="K310" s="53" t="n">
        <x:v>9.603284</x:v>
      </x:c>
      <x:c r="L310" s="53" t="n">
        <x:v>33.9509</x:v>
      </x:c>
      <x:c r="M310" s="53" t="n">
        <x:v>-118.3441</x:v>
      </x:c>
      <x:c r="N310" s="54" t="n">
        <x:v>350</x:v>
      </x:c>
      <x:c r="O310" s="54" t="n">
        <x:v>1</x:v>
      </x:c>
    </x:row>
    <x:row r="311">
      <x:c r="A311" s="54" t="n">
        <x:v>307</x:v>
      </x:c>
      <x:c r="B311" s="54" t="n">
        <x:v>3</x:v>
      </x:c>
      <x:c r="C311" s="54" t="n">
        <x:v>6</x:v>
      </x:c>
      <x:c r="D311" s="54" t="n">
        <x:v>3</x:v>
      </x:c>
      <x:c r="E311" s="54" t="n">
        <x:v>70649</x:v>
      </x:c>
      <x:c r="F311" s="54" t="n">
        <x:v>67024</x:v>
      </x:c>
      <x:c r="G311" s="54" t="n">
        <x:v>13396</x:v>
      </x:c>
      <x:c r="H311" s="54" t="n">
        <x:v>14714</x:v>
      </x:c>
      <x:c r="I311" s="54" t="n">
        <x:v>6621</x:v>
      </x:c>
      <x:c r="J311" s="54" t="n">
        <x:v>129</x:v>
      </x:c>
      <x:c r="K311" s="53" t="n">
        <x:v>10.033037</x:v>
      </x:c>
      <x:c r="L311" s="53" t="n">
        <x:v>32.7506</x:v>
      </x:c>
      <x:c r="M311" s="53" t="n">
        <x:v>-97.0915</x:v>
      </x:c>
      <x:c r="N311" s="54" t="n">
        <x:v>350</x:v>
      </x:c>
      <x:c r="O311" s="54" t="n">
        <x:v>1</x:v>
      </x:c>
    </x:row>
    <x:row r="312">
      <x:c r="A312" s="54" t="n">
        <x:v>308</x:v>
      </x:c>
      <x:c r="B312" s="54" t="n">
        <x:v>10</x:v>
      </x:c>
      <x:c r="C312" s="54" t="n">
        <x:v>19</x:v>
      </x:c>
      <x:c r="D312" s="54" t="n">
        <x:v>0</x:v>
      </x:c>
      <x:c r="E312" s="54" t="n">
        <x:v>68827</x:v>
      </x:c>
      <x:c r="F312" s="54" t="n">
        <x:v>44007</x:v>
      </x:c>
      <x:c r="G312" s="54" t="n">
        <x:v>20695</x:v>
      </x:c>
      <x:c r="H312" s="54" t="n">
        <x:v>11049</x:v>
      </x:c>
      <x:c r="I312" s="54" t="n">
        <x:v>7182</x:v>
      </x:c>
      <x:c r="J312" s="54" t="n">
        <x:v>82</x:v>
      </x:c>
      <x:c r="K312" s="53" t="n">
        <x:v>8.807888</x:v>
      </x:c>
      <x:c r="L312" s="53" t="n">
        <x:v>37.403468</x:v>
      </x:c>
      <x:c r="M312" s="53" t="n">
        <x:v>-121.974908</x:v>
      </x:c>
      <x:c r="N312" s="54" t="n">
        <x:v>250</x:v>
      </x:c>
      <x:c r="O312" s="54" t="n">
        <x:v>0</x:v>
      </x:c>
    </x:row>
    <x:row r="313">
      <x:c r="A313" s="54" t="n">
        <x:v>309</x:v>
      </x:c>
      <x:c r="B313" s="54" t="n">
        <x:v>1</x:v>
      </x:c>
      <x:c r="C313" s="54" t="n">
        <x:v>1</x:v>
      </x:c>
      <x:c r="D313" s="54" t="n">
        <x:v>2</x:v>
      </x:c>
      <x:c r="E313" s="54" t="n">
        <x:v>68239</x:v>
      </x:c>
      <x:c r="F313" s="54" t="n">
        <x:v>67729</x:v>
      </x:c>
      <x:c r="G313" s="54" t="n">
        <x:v>32170</x:v>
      </x:c>
      <x:c r="H313" s="54" t="n">
        <x:v>26305</x:v>
      </x:c>
      <x:c r="I313" s="54" t="n">
        <x:v>15257</x:v>
      </x:c>
      <x:c r="J313" s="54" t="n">
        <x:v>72</x:v>
      </x:c>
      <x:c r="K313" s="53" t="n">
        <x:v>9.391018</x:v>
      </x:c>
      <x:c r="L313" s="53" t="n">
        <x:v>33.7565</x:v>
      </x:c>
      <x:c r="M313" s="53" t="n">
        <x:v>-84.4038</x:v>
      </x:c>
      <x:c r="N313" s="54" t="n">
        <x:v>250</x:v>
      </x:c>
      <x:c r="O313" s="54" t="n">
        <x:v>1</x:v>
      </x:c>
    </x:row>
    <x:row r="314">
      <x:c r="A314" s="54" t="n">
        <x:v>310</x:v>
      </x:c>
      <x:c r="B314" s="54" t="n">
        <x:v>4</x:v>
      </x:c>
      <x:c r="C314" s="54" t="n">
        <x:v>7</x:v>
      </x:c>
      <x:c r="D314" s="54" t="n">
        <x:v>0</x:v>
      </x:c>
      <x:c r="E314" s="54" t="n">
        <x:v>68777</x:v>
      </x:c>
      <x:c r="F314" s="54" t="n">
        <x:v>52382</x:v>
      </x:c>
      <x:c r="G314" s="54" t="n">
        <x:v>17426</x:v>
      </x:c>
      <x:c r="H314" s="54" t="n">
        <x:v>16809</x:v>
      </x:c>
      <x:c r="I314" s="54" t="n">
        <x:v>10085</x:v>
      </x:c>
      <x:c r="J314" s="54" t="n">
        <x:v>89</x:v>
      </x:c>
      <x:c r="K314" s="53" t="n">
        <x:v>9.092387</x:v>
      </x:c>
      <x:c r="L314" s="53" t="n">
        <x:v>29.6852</x:v>
      </x:c>
      <x:c r="M314" s="53" t="n">
        <x:v>-95.407</x:v>
      </x:c>
      <x:c r="N314" s="54" t="n">
        <x:v>250</x:v>
      </x:c>
      <x:c r="O314" s="54" t="n">
        <x:v>0</x:v>
      </x:c>
    </x:row>
    <x:row r="315">
      <x:c r="A315" s="54" t="n">
        <x:v>311</x:v>
      </x:c>
      <x:c r="B315" s="54" t="n">
        <x:v>9</x:v>
      </x:c>
      <x:c r="C315" s="54" t="n">
        <x:v>17</x:v>
      </x:c>
      <x:c r="D315" s="54" t="n">
        <x:v>0</x:v>
      </x:c>
      <x:c r="E315" s="54" t="n">
        <x:v>68324</x:v>
      </x:c>
      <x:c r="F315" s="54" t="n">
        <x:v>53904</x:v>
      </x:c>
      <x:c r="G315" s="54" t="n">
        <x:v>23930</x:v>
      </x:c>
      <x:c r="H315" s="54" t="n">
        <x:v>18866</x:v>
      </x:c>
      <x:c r="I315" s="54" t="n">
        <x:v>11320</x:v>
      </x:c>
      <x:c r="J315" s="54" t="n">
        <x:v>76</x:v>
      </x:c>
      <x:c r="K315" s="53" t="n">
        <x:v>8.474327</x:v>
      </x:c>
      <x:c r="L315" s="53" t="n">
        <x:v>39.9047</x:v>
      </x:c>
      <x:c r="M315" s="53" t="n">
        <x:v>-75.1736</x:v>
      </x:c>
      <x:c r="N315" s="54" t="n">
        <x:v>250</x:v>
      </x:c>
      <x:c r="O315" s="54" t="n">
        <x:v>0</x:v>
      </x:c>
    </x:row>
    <x:row r="316">
      <x:c r="A316" s="54" t="n">
        <x:v>312</x:v>
      </x:c>
      <x:c r="B316" s="54" t="n">
        <x:v>5</x:v>
      </x:c>
      <x:c r="C316" s="54" t="n">
        <x:v>10</x:v>
      </x:c>
      <x:c r="D316" s="54" t="n">
        <x:v>0</x:v>
      </x:c>
      <x:c r="E316" s="54" t="n">
        <x:v>69045</x:v>
      </x:c>
      <x:c r="F316" s="54" t="n">
        <x:v>59927</x:v>
      </x:c>
      <x:c r="G316" s="54" t="n">
        <x:v>3025</x:v>
      </x:c>
      <x:c r="H316" s="54" t="n">
        <x:v>6659</x:v>
      </x:c>
      <x:c r="I316" s="54" t="n">
        <x:v>2997</x:v>
      </x:c>
      <x:c r="J316" s="54" t="n">
        <x:v>104</x:v>
      </x:c>
      <x:c r="K316" s="53" t="n">
        <x:v>8.632123</x:v>
      </x:c>
      <x:c r="L316" s="53" t="n">
        <x:v>39.0491</x:v>
      </x:c>
      <x:c r="M316" s="53" t="n">
        <x:v>-94.4871</x:v>
      </x:c>
      <x:c r="N316" s="54" t="n">
        <x:v>400</x:v>
      </x:c>
      <x:c r="O316" s="54" t="n">
        <x:v>0</x:v>
      </x:c>
    </x:row>
    <x:row r="317">
      <x:c r="A317" s="54" t="n">
        <x:v>313</x:v>
      </x:c>
      <x:c r="B317" s="54" t="n">
        <x:v>5</x:v>
      </x:c>
      <x:c r="C317" s="54" t="n">
        <x:v>10</x:v>
      </x:c>
      <x:c r="D317" s="54" t="n">
        <x:v>2</x:v>
      </x:c>
      <x:c r="E317" s="54" t="n">
        <x:v>69045</x:v>
      </x:c>
      <x:c r="F317" s="54" t="n">
        <x:v>60580</x:v>
      </x:c>
      <x:c r="G317" s="54" t="n">
        <x:v>12658</x:v>
      </x:c>
      <x:c r="H317" s="54" t="n">
        <x:v>4846</x:v>
      </x:c>
      <x:c r="I317" s="54" t="n">
        <x:v>2181</x:v>
      </x:c>
      <x:c r="J317" s="54" t="n">
        <x:v>120</x:v>
      </x:c>
      <x:c r="K317" s="53" t="n">
        <x:v>8.632123</x:v>
      </x:c>
      <x:c r="L317" s="53" t="n">
        <x:v>39.0491</x:v>
      </x:c>
      <x:c r="M317" s="53" t="n">
        <x:v>-94.4871</x:v>
      </x:c>
      <x:c r="N317" s="54" t="n">
        <x:v>400</x:v>
      </x:c>
      <x:c r="O317" s="54" t="n">
        <x:v>0</x:v>
      </x:c>
    </x:row>
    <x:row r="318">
      <x:c r="A318" s="54" t="n">
        <x:v>314</x:v>
      </x:c>
      <x:c r="B318" s="54" t="n">
        <x:v>8</x:v>
      </x:c>
      <x:c r="C318" s="54" t="n">
        <x:v>15</x:v>
      </x:c>
      <x:c r="D318" s="54" t="n">
        <x:v>0</x:v>
      </x:c>
      <x:c r="E318" s="54" t="n">
        <x:v>80663</x:v>
      </x:c>
      <x:c r="F318" s="54" t="n">
        <x:v>72824</x:v>
      </x:c>
      <x:c r="G318" s="54" t="n">
        <x:v>18774</x:v>
      </x:c>
      <x:c r="H318" s="54" t="n">
        <x:v>41437</x:v>
      </x:c>
      <x:c r="I318" s="54" t="n">
        <x:v>22790</x:v>
      </x:c>
      <x:c r="J318" s="54" t="n">
        <x:v>64</x:v>
      </x:c>
      <x:c r="K318" s="53" t="n">
        <x:v>10.438681</x:v>
      </x:c>
      <x:c r="L318" s="53" t="n">
        <x:v>40.807664</x:v>
      </x:c>
      <x:c r="M318" s="53" t="n">
        <x:v>-74.069833</x:v>
      </x:c>
      <x:c r="N318" s="54" t="n">
        <x:v>250</x:v>
      </x:c>
      <x:c r="O318" s="54" t="n">
        <x:v>0</x:v>
      </x:c>
    </x:row>
    <x:row r="319">
      <x:c r="A319" s="54" t="n">
        <x:v>315</x:v>
      </x:c>
      <x:c r="B319" s="54" t="n">
        <x:v>3</x:v>
      </x:c>
      <x:c r="C319" s="54" t="n">
        <x:v>6</x:v>
      </x:c>
      <x:c r="D319" s="54" t="n">
        <x:v>0</x:v>
      </x:c>
      <x:c r="E319" s="54" t="n">
        <x:v>70649</x:v>
      </x:c>
      <x:c r="F319" s="54" t="n">
        <x:v>58197</x:v>
      </x:c>
      <x:c r="G319" s="54" t="n">
        <x:v>5392</x:v>
      </x:c>
      <x:c r="H319" s="54" t="n">
        <x:v>4656</x:v>
      </x:c>
      <x:c r="I319" s="54" t="n">
        <x:v>2095</x:v>
      </x:c>
      <x:c r="J319" s="54" t="n">
        <x:v>108</x:v>
      </x:c>
      <x:c r="K319" s="53" t="n">
        <x:v>10.033037</x:v>
      </x:c>
      <x:c r="L319" s="53" t="n">
        <x:v>32.7506</x:v>
      </x:c>
      <x:c r="M319" s="53" t="n">
        <x:v>-97.0915</x:v>
      </x:c>
      <x:c r="N319" s="54" t="n">
        <x:v>350</x:v>
      </x:c>
      <x:c r="O319" s="54" t="n">
        <x:v>0</x:v>
      </x:c>
    </x:row>
    <x:row r="320">
      <x:c r="A320" s="54" t="n">
        <x:v>316</x:v>
      </x:c>
      <x:c r="B320" s="54" t="n">
        <x:v>11</x:v>
      </x:c>
      <x:c r="C320" s="54" t="n">
        <x:v>21</x:v>
      </x:c>
      <x:c r="D320" s="54" t="n">
        <x:v>0</x:v>
      </x:c>
      <x:c r="E320" s="54" t="n">
        <x:v>66925</x:v>
      </x:c>
      <x:c r="F320" s="54" t="n">
        <x:v>60936</x:v>
      </x:c>
      <x:c r="G320" s="54" t="n">
        <x:v>30613</x:v>
      </x:c>
      <x:c r="H320" s="54" t="n">
        <x:v>36990</x:v>
      </x:c>
      <x:c r="I320" s="54" t="n">
        <x:v>20345</x:v>
      </x:c>
      <x:c r="J320" s="54" t="n">
        <x:v>78</x:v>
      </x:c>
      <x:c r="K320" s="53" t="n">
        <x:v>8.408439</x:v>
      </x:c>
      <x:c r="L320" s="53" t="n">
        <x:v>47.5917</x:v>
      </x:c>
      <x:c r="M320" s="53" t="n">
        <x:v>-122.3272</x:v>
      </x:c>
      <x:c r="N320" s="54" t="n">
        <x:v>250</x:v>
      </x:c>
      <x:c r="O320" s="54" t="n">
        <x:v>1</x:v>
      </x:c>
    </x:row>
    <x:row r="321">
      <x:c r="A321" s="54" t="n">
        <x:v>317</x:v>
      </x:c>
      <x:c r="B321" s="54" t="n">
        <x:v>4</x:v>
      </x:c>
      <x:c r="C321" s="54" t="n">
        <x:v>7</x:v>
      </x:c>
      <x:c r="D321" s="54" t="n">
        <x:v>0</x:v>
      </x:c>
      <x:c r="E321" s="54" t="n">
        <x:v>68777</x:v>
      </x:c>
      <x:c r="F321" s="54" t="n">
        <x:v>53937</x:v>
      </x:c>
      <x:c r="G321" s="54" t="n">
        <x:v>14069</x:v>
      </x:c>
      <x:c r="H321" s="54" t="n">
        <x:v>11264</x:v>
      </x:c>
      <x:c r="I321" s="54" t="n">
        <x:v>6758</x:v>
      </x:c>
      <x:c r="J321" s="54" t="n">
        <x:v>80</x:v>
      </x:c>
      <x:c r="K321" s="53" t="n">
        <x:v>9.092387</x:v>
      </x:c>
      <x:c r="L321" s="53" t="n">
        <x:v>29.6852</x:v>
      </x:c>
      <x:c r="M321" s="53" t="n">
        <x:v>-95.407</x:v>
      </x:c>
      <x:c r="N321" s="54" t="n">
        <x:v>250</x:v>
      </x:c>
      <x:c r="O321" s="54" t="n">
        <x:v>0</x:v>
      </x:c>
    </x:row>
    <x:row r="322">
      <x:c r="A322" s="54" t="n">
        <x:v>318</x:v>
      </x:c>
      <x:c r="B322" s="54" t="n">
        <x:v>11</x:v>
      </x:c>
      <x:c r="C322" s="54" t="n">
        <x:v>21</x:v>
      </x:c>
      <x:c r="D322" s="54" t="n">
        <x:v>1</x:v>
      </x:c>
      <x:c r="E322" s="54" t="n">
        <x:v>66925</x:v>
      </x:c>
      <x:c r="F322" s="54" t="n">
        <x:v>64931</x:v>
      </x:c>
      <x:c r="G322" s="54" t="n">
        <x:v>35891</x:v>
      </x:c>
      <x:c r="H322" s="54" t="n">
        <x:v>32996</x:v>
      </x:c>
      <x:c r="I322" s="54" t="n">
        <x:v>18148</x:v>
      </x:c>
      <x:c r="J322" s="54" t="n">
        <x:v>69</x:v>
      </x:c>
      <x:c r="K322" s="53" t="n">
        <x:v>8.408439</x:v>
      </x:c>
      <x:c r="L322" s="53" t="n">
        <x:v>47.5917</x:v>
      </x:c>
      <x:c r="M322" s="53" t="n">
        <x:v>-122.3272</x:v>
      </x:c>
      <x:c r="N322" s="54" t="n">
        <x:v>250</x:v>
      </x:c>
      <x:c r="O322" s="54" t="n">
        <x:v>1</x:v>
      </x:c>
    </x:row>
    <x:row r="323">
      <x:c r="A323" s="54" t="n">
        <x:v>319</x:v>
      </x:c>
      <x:c r="B323" s="54" t="n">
        <x:v>10</x:v>
      </x:c>
      <x:c r="C323" s="54" t="n">
        <x:v>19</x:v>
      </x:c>
      <x:c r="D323" s="54" t="n">
        <x:v>2</x:v>
      </x:c>
      <x:c r="E323" s="54" t="n">
        <x:v>68827</x:v>
      </x:c>
      <x:c r="F323" s="54" t="n">
        <x:v>64273</x:v>
      </x:c>
      <x:c r="G323" s="54" t="n">
        <x:v>36684</x:v>
      </x:c>
      <x:c r="H323" s="54" t="n">
        <x:v>28039</x:v>
      </x:c>
      <x:c r="I323" s="54" t="n">
        <x:v>18225</x:v>
      </x:c>
      <x:c r="J323" s="54" t="n">
        <x:v>97</x:v>
      </x:c>
      <x:c r="K323" s="53" t="n">
        <x:v>8.807888</x:v>
      </x:c>
      <x:c r="L323" s="53" t="n">
        <x:v>37.403468</x:v>
      </x:c>
      <x:c r="M323" s="53" t="n">
        <x:v>-121.974908</x:v>
      </x:c>
      <x:c r="N323" s="54" t="n">
        <x:v>250</x:v>
      </x:c>
      <x:c r="O323" s="54" t="n">
        <x:v>1</x:v>
      </x:c>
    </x:row>
    <x:row r="324">
      <x:c r="A324" s="54" t="n">
        <x:v>320</x:v>
      </x:c>
      <x:c r="B324" s="54" t="n">
        <x:v>3</x:v>
      </x:c>
      <x:c r="C324" s="54" t="n">
        <x:v>6</x:v>
      </x:c>
      <x:c r="D324" s="54" t="n">
        <x:v>1</x:v>
      </x:c>
      <x:c r="E324" s="54" t="n">
        <x:v>70649</x:v>
      </x:c>
      <x:c r="F324" s="54" t="n">
        <x:v>59001</x:v>
      </x:c>
      <x:c r="G324" s="54" t="n">
        <x:v>3478</x:v>
      </x:c>
      <x:c r="H324" s="54" t="n">
        <x:v>7977</x:v>
      </x:c>
      <x:c r="I324" s="54" t="n">
        <x:v>3590</x:v>
      </x:c>
      <x:c r="J324" s="54" t="n">
        <x:v>116</x:v>
      </x:c>
      <x:c r="K324" s="53" t="n">
        <x:v>10.033037</x:v>
      </x:c>
      <x:c r="L324" s="53" t="n">
        <x:v>32.7506</x:v>
      </x:c>
      <x:c r="M324" s="53" t="n">
        <x:v>-97.0915</x:v>
      </x:c>
      <x:c r="N324" s="54" t="n">
        <x:v>350</x:v>
      </x:c>
      <x:c r="O324" s="54" t="n">
        <x:v>0</x:v>
      </x:c>
    </x:row>
    <x:row r="325">
      <x:c r="A325" s="54" t="n">
        <x:v>321</x:v>
      </x:c>
      <x:c r="B325" s="54" t="n">
        <x:v>5</x:v>
      </x:c>
      <x:c r="C325" s="54" t="n">
        <x:v>10</x:v>
      </x:c>
      <x:c r="D325" s="54" t="n">
        <x:v>4</x:v>
      </x:c>
      <x:c r="E325" s="54" t="n">
        <x:v>69045</x:v>
      </x:c>
      <x:c r="F325" s="54" t="n">
        <x:v>68907</x:v>
      </x:c>
      <x:c r="G325" s="54" t="n">
        <x:v>13272</x:v>
      </x:c>
      <x:c r="H325" s="54" t="n">
        <x:v>14100</x:v>
      </x:c>
      <x:c r="I325" s="54" t="n">
        <x:v>6345</x:v>
      </x:c>
      <x:c r="J325" s="54" t="n">
        <x:v>134</x:v>
      </x:c>
      <x:c r="K325" s="53" t="n">
        <x:v>8.632123</x:v>
      </x:c>
      <x:c r="L325" s="53" t="n">
        <x:v>39.0491</x:v>
      </x:c>
      <x:c r="M325" s="53" t="n">
        <x:v>-94.4871</x:v>
      </x:c>
      <x:c r="N325" s="54" t="n">
        <x:v>400</x:v>
      </x:c>
      <x:c r="O325" s="54" t="n">
        <x:v>1</x:v>
      </x:c>
    </x:row>
    <x:row r="326">
      <x:c r="A326" s="54" t="n">
        <x:v>322</x:v>
      </x:c>
      <x:c r="B326" s="54" t="n">
        <x:v>8</x:v>
      </x:c>
      <x:c r="C326" s="54" t="n">
        <x:v>15</x:v>
      </x:c>
      <x:c r="D326" s="54" t="n">
        <x:v>2</x:v>
      </x:c>
      <x:c r="E326" s="54" t="n">
        <x:v>80663</x:v>
      </x:c>
      <x:c r="F326" s="54" t="n">
        <x:v>62043</x:v>
      </x:c>
      <x:c r="G326" s="54" t="n">
        <x:v>22334</x:v>
      </x:c>
      <x:c r="H326" s="54" t="n">
        <x:v>35077</x:v>
      </x:c>
      <x:c r="I326" s="54" t="n">
        <x:v>19292</x:v>
      </x:c>
      <x:c r="J326" s="54" t="n">
        <x:v>61</x:v>
      </x:c>
      <x:c r="K326" s="53" t="n">
        <x:v>10.438681</x:v>
      </x:c>
      <x:c r="L326" s="53" t="n">
        <x:v>40.807664</x:v>
      </x:c>
      <x:c r="M326" s="53" t="n">
        <x:v>-74.069833</x:v>
      </x:c>
      <x:c r="N326" s="54" t="n">
        <x:v>250</x:v>
      </x:c>
      <x:c r="O326" s="54" t="n">
        <x:v>0</x:v>
      </x:c>
    </x:row>
    <x:row r="327">
      <x:c r="A327" s="54" t="n">
        <x:v>323</x:v>
      </x:c>
      <x:c r="B327" s="54" t="n">
        <x:v>1</x:v>
      </x:c>
      <x:c r="C327" s="54" t="n">
        <x:v>1</x:v>
      </x:c>
      <x:c r="D327" s="54" t="n">
        <x:v>2</x:v>
      </x:c>
      <x:c r="E327" s="54" t="n">
        <x:v>68239</x:v>
      </x:c>
      <x:c r="F327" s="54" t="n">
        <x:v>54893</x:v>
      </x:c>
      <x:c r="G327" s="54" t="n">
        <x:v>30487</x:v>
      </x:c>
      <x:c r="H327" s="54" t="n">
        <x:v>21482</x:v>
      </x:c>
      <x:c r="I327" s="54" t="n">
        <x:v>12460</x:v>
      </x:c>
      <x:c r="J327" s="54" t="n">
        <x:v>69</x:v>
      </x:c>
      <x:c r="K327" s="53" t="n">
        <x:v>9.391018</x:v>
      </x:c>
      <x:c r="L327" s="53" t="n">
        <x:v>33.7565</x:v>
      </x:c>
      <x:c r="M327" s="53" t="n">
        <x:v>-84.4038</x:v>
      </x:c>
      <x:c r="N327" s="54" t="n">
        <x:v>250</x:v>
      </x:c>
      <x:c r="O327" s="54" t="n">
        <x:v>0</x:v>
      </x:c>
    </x:row>
    <x:row r="328">
      <x:c r="A328" s="54" t="n">
        <x:v>324</x:v>
      </x:c>
      <x:c r="B328" s="54" t="n">
        <x:v>7</x:v>
      </x:c>
      <x:c r="C328" s="54" t="n">
        <x:v>14</x:v>
      </x:c>
      <x:c r="D328" s="54" t="n">
        <x:v>0</x:v>
      </x:c>
      <x:c r="E328" s="54" t="n">
        <x:v>64478</x:v>
      </x:c>
      <x:c r="F328" s="54" t="n">
        <x:v>53120</x:v>
      </x:c>
      <x:c r="G328" s="54" t="n">
        <x:v>11761</x:v>
      </x:c>
      <x:c r="H328" s="54" t="n">
        <x:v>7121</x:v>
      </x:c>
      <x:c r="I328" s="54" t="n">
        <x:v>3204</x:v>
      </x:c>
      <x:c r="J328" s="54" t="n">
        <x:v>129</x:v>
      </x:c>
      <x:c r="K328" s="53" t="n">
        <x:v>8.69743</x:v>
      </x:c>
      <x:c r="L328" s="53" t="n">
        <x:v>25.9549</x:v>
      </x:c>
      <x:c r="M328" s="53" t="n">
        <x:v>-80.2383</x:v>
      </x:c>
      <x:c r="N328" s="54" t="n">
        <x:v>350</x:v>
      </x:c>
      <x:c r="O328" s="54" t="n">
        <x:v>0</x:v>
      </x:c>
    </x:row>
    <x:row r="329">
      <x:c r="A329" s="54" t="n">
        <x:v>325</x:v>
      </x:c>
      <x:c r="B329" s="54" t="n">
        <x:v>4</x:v>
      </x:c>
      <x:c r="C329" s="54" t="n">
        <x:v>7</x:v>
      </x:c>
      <x:c r="D329" s="54" t="n">
        <x:v>0</x:v>
      </x:c>
      <x:c r="E329" s="54" t="n">
        <x:v>68777</x:v>
      </x:c>
      <x:c r="F329" s="54" t="n">
        <x:v>62204</x:v>
      </x:c>
      <x:c r="G329" s="54" t="n">
        <x:v>18899</x:v>
      </x:c>
      <x:c r="H329" s="54" t="n">
        <x:v>25854</x:v>
      </x:c>
      <x:c r="I329" s="54" t="n">
        <x:v>15512</x:v>
      </x:c>
      <x:c r="J329" s="54" t="n">
        <x:v>94</x:v>
      </x:c>
      <x:c r="K329" s="53" t="n">
        <x:v>9.092387</x:v>
      </x:c>
      <x:c r="L329" s="53" t="n">
        <x:v>29.6852</x:v>
      </x:c>
      <x:c r="M329" s="53" t="n">
        <x:v>-95.407</x:v>
      </x:c>
      <x:c r="N329" s="54" t="n">
        <x:v>250</x:v>
      </x:c>
      <x:c r="O329" s="54" t="n">
        <x:v>1</x:v>
      </x:c>
    </x:row>
    <x:row r="330">
      <x:c r="A330" s="54" t="n">
        <x:v>326</x:v>
      </x:c>
      <x:c r="B330" s="54" t="n">
        <x:v>4</x:v>
      </x:c>
      <x:c r="C330" s="54" t="n">
        <x:v>7</x:v>
      </x:c>
      <x:c r="D330" s="54" t="n">
        <x:v>0</x:v>
      </x:c>
      <x:c r="E330" s="54" t="n">
        <x:v>68777</x:v>
      </x:c>
      <x:c r="F330" s="54" t="n">
        <x:v>52724</x:v>
      </x:c>
      <x:c r="G330" s="54" t="n">
        <x:v>16303</x:v>
      </x:c>
      <x:c r="H330" s="54" t="n">
        <x:v>17516</x:v>
      </x:c>
      <x:c r="I330" s="54" t="n">
        <x:v>10510</x:v>
      </x:c>
      <x:c r="J330" s="54" t="n">
        <x:v>86</x:v>
      </x:c>
      <x:c r="K330" s="53" t="n">
        <x:v>9.092387</x:v>
      </x:c>
      <x:c r="L330" s="53" t="n">
        <x:v>29.6852</x:v>
      </x:c>
      <x:c r="M330" s="53" t="n">
        <x:v>-95.407</x:v>
      </x:c>
      <x:c r="N330" s="54" t="n">
        <x:v>250</x:v>
      </x:c>
      <x:c r="O330" s="54" t="n">
        <x:v>0</x:v>
      </x:c>
    </x:row>
    <x:row r="331">
      <x:c r="A331" s="54" t="n">
        <x:v>327</x:v>
      </x:c>
      <x:c r="B331" s="54" t="n">
        <x:v>8</x:v>
      </x:c>
      <x:c r="C331" s="54" t="n">
        <x:v>15</x:v>
      </x:c>
      <x:c r="D331" s="54" t="n">
        <x:v>2</x:v>
      </x:c>
      <x:c r="E331" s="54" t="n">
        <x:v>80663</x:v>
      </x:c>
      <x:c r="F331" s="54" t="n">
        <x:v>73205</x:v>
      </x:c>
      <x:c r="G331" s="54" t="n">
        <x:v>22929</x:v>
      </x:c>
      <x:c r="H331" s="54" t="n">
        <x:v>51427</x:v>
      </x:c>
      <x:c r="I331" s="54" t="n">
        <x:v>28285</x:v>
      </x:c>
      <x:c r="J331" s="54" t="n">
        <x:v>72</x:v>
      </x:c>
      <x:c r="K331" s="53" t="n">
        <x:v>10.438681</x:v>
      </x:c>
      <x:c r="L331" s="53" t="n">
        <x:v>40.807664</x:v>
      </x:c>
      <x:c r="M331" s="53" t="n">
        <x:v>-74.069833</x:v>
      </x:c>
      <x:c r="N331" s="54" t="n">
        <x:v>250</x:v>
      </x:c>
      <x:c r="O331" s="54" t="n">
        <x:v>1</x:v>
      </x:c>
    </x:row>
    <x:row r="332">
      <x:c r="A332" s="54" t="n">
        <x:v>328</x:v>
      </x:c>
      <x:c r="B332" s="54" t="n">
        <x:v>2</x:v>
      </x:c>
      <x:c r="C332" s="54" t="n">
        <x:v>3</x:v>
      </x:c>
      <x:c r="D332" s="54" t="n">
        <x:v>0</x:v>
      </x:c>
      <x:c r="E332" s="54" t="n">
        <x:v>64146</x:v>
      </x:c>
      <x:c r="F332" s="54" t="n">
        <x:v>54221</x:v>
      </x:c>
      <x:c r="G332" s="54" t="n">
        <x:v>15201</x:v>
      </x:c>
      <x:c r="H332" s="54" t="n">
        <x:v>12838</x:v>
      </x:c>
      <x:c r="I332" s="54" t="n">
        <x:v>8345</x:v>
      </x:c>
      <x:c r="J332" s="54" t="n">
        <x:v>108</x:v>
      </x:c>
      <x:c r="K332" s="53" t="n">
        <x:v>8.671598</x:v>
      </x:c>
      <x:c r="L332" s="53" t="n">
        <x:v>42.0889</x:v>
      </x:c>
      <x:c r="M332" s="53" t="n">
        <x:v>-71.2597</x:v>
      </x:c>
      <x:c r="N332" s="54" t="n">
        <x:v>250</x:v>
      </x:c>
      <x:c r="O332" s="54" t="n">
        <x:v>0</x:v>
      </x:c>
    </x:row>
    <x:row r="333">
      <x:c r="A333" s="54" t="n">
        <x:v>329</x:v>
      </x:c>
      <x:c r="B333" s="54" t="n">
        <x:v>7</x:v>
      </x:c>
      <x:c r="C333" s="54" t="n">
        <x:v>14</x:v>
      </x:c>
      <x:c r="D333" s="54" t="n">
        <x:v>0</x:v>
      </x:c>
      <x:c r="E333" s="54" t="n">
        <x:v>64478</x:v>
      </x:c>
      <x:c r="F333" s="54" t="n">
        <x:v>48354</x:v>
      </x:c>
      <x:c r="G333" s="54" t="n">
        <x:v>8602</x:v>
      </x:c>
      <x:c r="H333" s="54" t="n">
        <x:v>9563</x:v>
      </x:c>
      <x:c r="I333" s="54" t="n">
        <x:v>4303</x:v>
      </x:c>
      <x:c r="J333" s="54" t="n">
        <x:v>113</x:v>
      </x:c>
      <x:c r="K333" s="53" t="n">
        <x:v>8.69743</x:v>
      </x:c>
      <x:c r="L333" s="53" t="n">
        <x:v>25.9549</x:v>
      </x:c>
      <x:c r="M333" s="53" t="n">
        <x:v>-80.2383</x:v>
      </x:c>
      <x:c r="N333" s="54" t="n">
        <x:v>350</x:v>
      </x:c>
      <x:c r="O333" s="54" t="n">
        <x:v>0</x:v>
      </x:c>
    </x:row>
    <x:row r="334">
      <x:c r="A334" s="54" t="n">
        <x:v>330</x:v>
      </x:c>
      <x:c r="B334" s="54" t="n">
        <x:v>6</x:v>
      </x:c>
      <x:c r="C334" s="54" t="n">
        <x:v>11</x:v>
      </x:c>
      <x:c r="D334" s="54" t="n">
        <x:v>0</x:v>
      </x:c>
      <x:c r="E334" s="54" t="n">
        <x:v>70492</x:v>
      </x:c>
      <x:c r="F334" s="54" t="n">
        <x:v>60619</x:v>
      </x:c>
      <x:c r="G334" s="54" t="n">
        <x:v>16332</x:v>
      </x:c>
      <x:c r="H334" s="54" t="n">
        <x:v>11925</x:v>
      </x:c>
      <x:c r="I334" s="54" t="n">
        <x:v>5963</x:v>
      </x:c>
      <x:c r="J334" s="54" t="n">
        <x:v>104</x:v>
      </x:c>
      <x:c r="K334" s="53" t="n">
        <x:v>9.603284</x:v>
      </x:c>
      <x:c r="L334" s="53" t="n">
        <x:v>33.9509</x:v>
      </x:c>
      <x:c r="M334" s="53" t="n">
        <x:v>-118.3441</x:v>
      </x:c>
      <x:c r="N334" s="54" t="n">
        <x:v>350</x:v>
      </x:c>
      <x:c r="O334" s="54" t="n">
        <x:v>0</x:v>
      </x:c>
    </x:row>
    <x:row r="335">
      <x:c r="A335" s="54" t="n">
        <x:v>331</x:v>
      </x:c>
      <x:c r="B335" s="54" t="n">
        <x:v>10</x:v>
      </x:c>
      <x:c r="C335" s="54" t="n">
        <x:v>19</x:v>
      </x:c>
      <x:c r="D335" s="54" t="n">
        <x:v>0</x:v>
      </x:c>
      <x:c r="E335" s="54" t="n">
        <x:v>68827</x:v>
      </x:c>
      <x:c r="F335" s="54" t="n">
        <x:v>55289</x:v>
      </x:c>
      <x:c r="G335" s="54" t="n">
        <x:v>34800</x:v>
      </x:c>
      <x:c r="H335" s="54" t="n">
        <x:v>21527</x:v>
      </x:c>
      <x:c r="I335" s="54" t="n">
        <x:v>13993</x:v>
      </x:c>
      <x:c r="J335" s="54" t="n">
        <x:v>86</x:v>
      </x:c>
      <x:c r="K335" s="53" t="n">
        <x:v>8.807888</x:v>
      </x:c>
      <x:c r="L335" s="53" t="n">
        <x:v>37.403468</x:v>
      </x:c>
      <x:c r="M335" s="53" t="n">
        <x:v>-121.974908</x:v>
      </x:c>
      <x:c r="N335" s="54" t="n">
        <x:v>250</x:v>
      </x:c>
      <x:c r="O335" s="54" t="n">
        <x:v>1</x:v>
      </x:c>
    </x:row>
    <x:row r="336">
      <x:c r="A336" s="54" t="n">
        <x:v>332</x:v>
      </x:c>
      <x:c r="B336" s="54" t="n">
        <x:v>1</x:v>
      </x:c>
      <x:c r="C336" s="54" t="n">
        <x:v>1</x:v>
      </x:c>
      <x:c r="D336" s="54" t="n">
        <x:v>2</x:v>
      </x:c>
      <x:c r="E336" s="54" t="n">
        <x:v>68239</x:v>
      </x:c>
      <x:c r="F336" s="54" t="n">
        <x:v>54590</x:v>
      </x:c>
      <x:c r="G336" s="54" t="n">
        <x:v>26497</x:v>
      </x:c>
      <x:c r="H336" s="54" t="n">
        <x:v>23076</x:v>
      </x:c>
      <x:c r="I336" s="54" t="n">
        <x:v>13384</x:v>
      </x:c>
      <x:c r="J336" s="54" t="n">
        <x:v>52</x:v>
      </x:c>
      <x:c r="K336" s="53" t="n">
        <x:v>9.391018</x:v>
      </x:c>
      <x:c r="L336" s="53" t="n">
        <x:v>33.7565</x:v>
      </x:c>
      <x:c r="M336" s="53" t="n">
        <x:v>-84.4038</x:v>
      </x:c>
      <x:c r="N336" s="54" t="n">
        <x:v>250</x:v>
      </x:c>
      <x:c r="O336" s="54" t="n">
        <x:v>0</x:v>
      </x:c>
    </x:row>
    <x:row r="337">
      <x:c r="A337" s="54" t="n">
        <x:v>333</x:v>
      </x:c>
      <x:c r="B337" s="54" t="n">
        <x:v>2</x:v>
      </x:c>
      <x:c r="C337" s="54" t="n">
        <x:v>3</x:v>
      </x:c>
      <x:c r="D337" s="54" t="n">
        <x:v>1</x:v>
      </x:c>
      <x:c r="E337" s="54" t="n">
        <x:v>64146</x:v>
      </x:c>
      <x:c r="F337" s="54" t="n">
        <x:v>48982</x:v>
      </x:c>
      <x:c r="G337" s="54" t="n">
        <x:v>14235</x:v>
      </x:c>
      <x:c r="H337" s="54" t="n">
        <x:v>6509</x:v>
      </x:c>
      <x:c r="I337" s="54" t="n">
        <x:v>4231</x:v>
      </x:c>
      <x:c r="J337" s="54" t="n">
        <x:v>101</x:v>
      </x:c>
      <x:c r="K337" s="53" t="n">
        <x:v>8.671598</x:v>
      </x:c>
      <x:c r="L337" s="53" t="n">
        <x:v>42.0889</x:v>
      </x:c>
      <x:c r="M337" s="53" t="n">
        <x:v>-71.2597</x:v>
      </x:c>
      <x:c r="N337" s="54" t="n">
        <x:v>250</x:v>
      </x:c>
      <x:c r="O337" s="54" t="n">
        <x:v>0</x:v>
      </x:c>
    </x:row>
    <x:row r="338">
      <x:c r="A338" s="54" t="n">
        <x:v>334</x:v>
      </x:c>
      <x:c r="B338" s="54" t="n">
        <x:v>8</x:v>
      </x:c>
      <x:c r="C338" s="54" t="n">
        <x:v>16</x:v>
      </x:c>
      <x:c r="D338" s="54" t="n">
        <x:v>0</x:v>
      </x:c>
      <x:c r="E338" s="54" t="n">
        <x:v>80663</x:v>
      </x:c>
      <x:c r="F338" s="54" t="n">
        <x:v>68852</x:v>
      </x:c>
      <x:c r="G338" s="54" t="n">
        <x:v>12729</x:v>
      </x:c>
      <x:c r="H338" s="54" t="n">
        <x:v>41038</x:v>
      </x:c>
      <x:c r="I338" s="54" t="n">
        <x:v>18467</x:v>
      </x:c>
      <x:c r="J338" s="54" t="n">
        <x:v>80</x:v>
      </x:c>
      <x:c r="K338" s="53" t="n">
        <x:v>10.438681</x:v>
      </x:c>
      <x:c r="L338" s="53" t="n">
        <x:v>40.81145</x:v>
      </x:c>
      <x:c r="M338" s="53" t="n">
        <x:v>-74.07075</x:v>
      </x:c>
      <x:c r="N338" s="54" t="n">
        <x:v>350</x:v>
      </x:c>
      <x:c r="O338" s="54" t="n">
        <x:v>0</x:v>
      </x:c>
    </x:row>
    <x:row r="339">
      <x:c r="A339" s="54" t="n">
        <x:v>335</x:v>
      </x:c>
      <x:c r="B339" s="54" t="n">
        <x:v>11</x:v>
      </x:c>
      <x:c r="C339" s="54" t="n">
        <x:v>21</x:v>
      </x:c>
      <x:c r="D339" s="54" t="n">
        <x:v>0</x:v>
      </x:c>
      <x:c r="E339" s="54" t="n">
        <x:v>66925</x:v>
      </x:c>
      <x:c r="F339" s="54" t="n">
        <x:v>51017</x:v>
      </x:c>
      <x:c r="G339" s="54" t="n">
        <x:v>27709</x:v>
      </x:c>
      <x:c r="H339" s="54" t="n">
        <x:v>28390</x:v>
      </x:c>
      <x:c r="I339" s="54" t="n">
        <x:v>15615</x:v>
      </x:c>
      <x:c r="J339" s="54" t="n">
        <x:v>68</x:v>
      </x:c>
      <x:c r="K339" s="53" t="n">
        <x:v>8.408439</x:v>
      </x:c>
      <x:c r="L339" s="53" t="n">
        <x:v>47.5917</x:v>
      </x:c>
      <x:c r="M339" s="53" t="n">
        <x:v>-122.3272</x:v>
      </x:c>
      <x:c r="N339" s="54" t="n">
        <x:v>250</x:v>
      </x:c>
      <x:c r="O339" s="54" t="n">
        <x:v>0</x:v>
      </x:c>
    </x:row>
    <x:row r="340">
      <x:c r="A340" s="54" t="n">
        <x:v>336</x:v>
      </x:c>
      <x:c r="B340" s="54" t="n">
        <x:v>6</x:v>
      </x:c>
      <x:c r="C340" s="54" t="n">
        <x:v>11</x:v>
      </x:c>
      <x:c r="D340" s="54" t="n">
        <x:v>0</x:v>
      </x:c>
      <x:c r="E340" s="54" t="n">
        <x:v>70492</x:v>
      </x:c>
      <x:c r="F340" s="54" t="n">
        <x:v>54543</x:v>
      </x:c>
      <x:c r="G340" s="54" t="n">
        <x:v>17646</x:v>
      </x:c>
      <x:c r="H340" s="54" t="n">
        <x:v>11932</x:v>
      </x:c>
      <x:c r="I340" s="54" t="n">
        <x:v>5966</x:v>
      </x:c>
      <x:c r="J340" s="54" t="n">
        <x:v>94</x:v>
      </x:c>
      <x:c r="K340" s="53" t="n">
        <x:v>9.603284</x:v>
      </x:c>
      <x:c r="L340" s="53" t="n">
        <x:v>33.9509</x:v>
      </x:c>
      <x:c r="M340" s="53" t="n">
        <x:v>-118.3441</x:v>
      </x:c>
      <x:c r="N340" s="54" t="n">
        <x:v>350</x:v>
      </x:c>
      <x:c r="O340" s="54" t="n">
        <x:v>0</x:v>
      </x:c>
    </x:row>
    <x:row r="341">
      <x:c r="A341" s="54" t="n">
        <x:v>337</x:v>
      </x:c>
      <x:c r="B341" s="54" t="n">
        <x:v>2</x:v>
      </x:c>
      <x:c r="C341" s="54" t="n">
        <x:v>3</x:v>
      </x:c>
      <x:c r="D341" s="54" t="n">
        <x:v>0</x:v>
      </x:c>
      <x:c r="E341" s="54" t="n">
        <x:v>64146</x:v>
      </x:c>
      <x:c r="F341" s="54" t="n">
        <x:v>64018</x:v>
      </x:c>
      <x:c r="G341" s="54" t="n">
        <x:v>19869</x:v>
      </x:c>
      <x:c r="H341" s="54" t="n">
        <x:v>17800</x:v>
      </x:c>
      <x:c r="I341" s="54" t="n">
        <x:v>11570</x:v>
      </x:c>
      <x:c r="J341" s="54" t="n">
        <x:v>106</x:v>
      </x:c>
      <x:c r="K341" s="53" t="n">
        <x:v>8.671598</x:v>
      </x:c>
      <x:c r="L341" s="53" t="n">
        <x:v>42.0889</x:v>
      </x:c>
      <x:c r="M341" s="53" t="n">
        <x:v>-71.2597</x:v>
      </x:c>
      <x:c r="N341" s="54" t="n">
        <x:v>250</x:v>
      </x:c>
      <x:c r="O341" s="54" t="n">
        <x:v>1</x:v>
      </x:c>
    </x:row>
    <x:row r="342">
      <x:c r="A342" s="54" t="n">
        <x:v>338</x:v>
      </x:c>
      <x:c r="B342" s="54" t="n">
        <x:v>4</x:v>
      </x:c>
      <x:c r="C342" s="54" t="n">
        <x:v>7</x:v>
      </x:c>
      <x:c r="D342" s="54" t="n">
        <x:v>0</x:v>
      </x:c>
      <x:c r="E342" s="54" t="n">
        <x:v>68777</x:v>
      </x:c>
      <x:c r="F342" s="54" t="n">
        <x:v>56241</x:v>
      </x:c>
      <x:c r="G342" s="54" t="n">
        <x:v>17282</x:v>
      </x:c>
      <x:c r="H342" s="54" t="n">
        <x:v>16568</x:v>
      </x:c>
      <x:c r="I342" s="54" t="n">
        <x:v>9941</x:v>
      </x:c>
      <x:c r="J342" s="54" t="n">
        <x:v>67</x:v>
      </x:c>
      <x:c r="K342" s="53" t="n">
        <x:v>9.092387</x:v>
      </x:c>
      <x:c r="L342" s="53" t="n">
        <x:v>29.6852</x:v>
      </x:c>
      <x:c r="M342" s="53" t="n">
        <x:v>-95.407</x:v>
      </x:c>
      <x:c r="N342" s="54" t="n">
        <x:v>250</x:v>
      </x:c>
      <x:c r="O342" s="54" t="n">
        <x:v>0</x:v>
      </x:c>
    </x:row>
    <x:row r="343">
      <x:c r="A343" s="54" t="n">
        <x:v>339</x:v>
      </x:c>
      <x:c r="B343" s="54" t="n">
        <x:v>4</x:v>
      </x:c>
      <x:c r="C343" s="54" t="n">
        <x:v>7</x:v>
      </x:c>
      <x:c r="D343" s="54" t="n">
        <x:v>0</x:v>
      </x:c>
      <x:c r="E343" s="54" t="n">
        <x:v>68777</x:v>
      </x:c>
      <x:c r="F343" s="54" t="n">
        <x:v>64561</x:v>
      </x:c>
      <x:c r="G343" s="54" t="n">
        <x:v>22061</x:v>
      </x:c>
      <x:c r="H343" s="54" t="n">
        <x:v>17246</x:v>
      </x:c>
      <x:c r="I343" s="54" t="n">
        <x:v>10348</x:v>
      </x:c>
      <x:c r="J343" s="54" t="n">
        <x:v>62</x:v>
      </x:c>
      <x:c r="K343" s="53" t="n">
        <x:v>9.092387</x:v>
      </x:c>
      <x:c r="L343" s="53" t="n">
        <x:v>29.6852</x:v>
      </x:c>
      <x:c r="M343" s="53" t="n">
        <x:v>-95.407</x:v>
      </x:c>
      <x:c r="N343" s="54" t="n">
        <x:v>250</x:v>
      </x:c>
      <x:c r="O343" s="54" t="n">
        <x:v>0</x:v>
      </x:c>
    </x:row>
    <x:row r="344">
      <x:c r="A344" s="54" t="n">
        <x:v>340</x:v>
      </x:c>
      <x:c r="B344" s="54" t="n">
        <x:v>1</x:v>
      </x:c>
      <x:c r="C344" s="54" t="n">
        <x:v>1</x:v>
      </x:c>
      <x:c r="D344" s="54" t="n">
        <x:v>0</x:v>
      </x:c>
      <x:c r="E344" s="54" t="n">
        <x:v>68239</x:v>
      </x:c>
      <x:c r="F344" s="54" t="n">
        <x:v>63512</x:v>
      </x:c>
      <x:c r="G344" s="54" t="n">
        <x:v>27474</x:v>
      </x:c>
      <x:c r="H344" s="54" t="n">
        <x:v>24301</x:v>
      </x:c>
      <x:c r="I344" s="54" t="n">
        <x:v>14095</x:v>
      </x:c>
      <x:c r="J344" s="54" t="n">
        <x:v>70</x:v>
      </x:c>
      <x:c r="K344" s="53" t="n">
        <x:v>9.391018</x:v>
      </x:c>
      <x:c r="L344" s="53" t="n">
        <x:v>33.7565</x:v>
      </x:c>
      <x:c r="M344" s="53" t="n">
        <x:v>-84.4038</x:v>
      </x:c>
      <x:c r="N344" s="54" t="n">
        <x:v>250</x:v>
      </x:c>
      <x:c r="O344" s="54" t="n">
        <x:v>0</x:v>
      </x:c>
    </x:row>
    <x:row r="345">
      <x:c r="A345" s="54" t="n">
        <x:v>341</x:v>
      </x:c>
      <x:c r="B345" s="54" t="n">
        <x:v>2</x:v>
      </x:c>
      <x:c r="C345" s="54" t="n">
        <x:v>4</x:v>
      </x:c>
      <x:c r="D345" s="54" t="n">
        <x:v>0</x:v>
      </x:c>
      <x:c r="E345" s="54" t="n">
        <x:v>64146</x:v>
      </x:c>
      <x:c r="F345" s="54" t="n">
        <x:v>63055</x:v>
      </x:c>
      <x:c r="G345" s="54" t="n">
        <x:v>14223</x:v>
      </x:c>
      <x:c r="H345" s="54" t="n">
        <x:v>14836</x:v>
      </x:c>
      <x:c r="I345" s="54" t="n">
        <x:v>5193</x:v>
      </x:c>
      <x:c r="J345" s="54" t="n">
        <x:v>98</x:v>
      </x:c>
      <x:c r="K345" s="53" t="n">
        <x:v>8.671598</x:v>
      </x:c>
      <x:c r="L345" s="53" t="n">
        <x:v>42.0916</x:v>
      </x:c>
      <x:c r="M345" s="53" t="n">
        <x:v>-71.2648</x:v>
      </x:c>
      <x:c r="N345" s="54" t="n">
        <x:v>300</x:v>
      </x:c>
      <x:c r="O345" s="54" t="n">
        <x:v>0</x:v>
      </x:c>
    </x:row>
    <x:row r="346">
      <x:c r="A346" s="54" t="n">
        <x:v>342</x:v>
      </x:c>
      <x:c r="B346" s="54" t="n">
        <x:v>9</x:v>
      </x:c>
      <x:c r="C346" s="54" t="n">
        <x:v>17</x:v>
      </x:c>
      <x:c r="D346" s="54" t="n">
        <x:v>0</x:v>
      </x:c>
      <x:c r="E346" s="54" t="n">
        <x:v>68324</x:v>
      </x:c>
      <x:c r="F346" s="54" t="n">
        <x:v>63660</x:v>
      </x:c>
      <x:c r="G346" s="54" t="n">
        <x:v>32201</x:v>
      </x:c>
      <x:c r="H346" s="54" t="n">
        <x:v>29026</x:v>
      </x:c>
      <x:c r="I346" s="54" t="n">
        <x:v>17416</x:v>
      </x:c>
      <x:c r="J346" s="54" t="n">
        <x:v>85</x:v>
      </x:c>
      <x:c r="K346" s="53" t="n">
        <x:v>8.474327</x:v>
      </x:c>
      <x:c r="L346" s="53" t="n">
        <x:v>39.9047</x:v>
      </x:c>
      <x:c r="M346" s="53" t="n">
        <x:v>-75.1736</x:v>
      </x:c>
      <x:c r="N346" s="54" t="n">
        <x:v>250</x:v>
      </x:c>
      <x:c r="O346" s="54" t="n">
        <x:v>1</x:v>
      </x:c>
    </x:row>
    <x:row r="347">
      <x:c r="A347" s="54" t="n">
        <x:v>343</x:v>
      </x:c>
      <x:c r="B347" s="54" t="n">
        <x:v>4</x:v>
      </x:c>
      <x:c r="C347" s="54" t="n">
        <x:v>7</x:v>
      </x:c>
      <x:c r="D347" s="54" t="n">
        <x:v>1</x:v>
      </x:c>
      <x:c r="E347" s="54" t="n">
        <x:v>68777</x:v>
      </x:c>
      <x:c r="F347" s="54" t="n">
        <x:v>60533</x:v>
      </x:c>
      <x:c r="G347" s="54" t="n">
        <x:v>19279</x:v>
      </x:c>
      <x:c r="H347" s="54" t="n">
        <x:v>18610</x:v>
      </x:c>
      <x:c r="I347" s="54" t="n">
        <x:v>11166</x:v>
      </x:c>
      <x:c r="J347" s="54" t="n">
        <x:v>68</x:v>
      </x:c>
      <x:c r="K347" s="53" t="n">
        <x:v>9.092387</x:v>
      </x:c>
      <x:c r="L347" s="53" t="n">
        <x:v>29.6852</x:v>
      </x:c>
      <x:c r="M347" s="53" t="n">
        <x:v>-95.407</x:v>
      </x:c>
      <x:c r="N347" s="54" t="n">
        <x:v>250</x:v>
      </x:c>
      <x:c r="O347" s="54" t="n">
        <x:v>0</x:v>
      </x:c>
    </x:row>
    <x:row r="348">
      <x:c r="A348" s="54" t="n">
        <x:v>344</x:v>
      </x:c>
      <x:c r="B348" s="54" t="n">
        <x:v>5</x:v>
      </x:c>
      <x:c r="C348" s="54" t="n">
        <x:v>10</x:v>
      </x:c>
      <x:c r="D348" s="54" t="n">
        <x:v>2</x:v>
      </x:c>
      <x:c r="E348" s="54" t="n">
        <x:v>69045</x:v>
      </x:c>
      <x:c r="F348" s="54" t="n">
        <x:v>67903</x:v>
      </x:c>
      <x:c r="G348" s="54" t="n">
        <x:v>13696</x:v>
      </x:c>
      <x:c r="H348" s="54" t="n">
        <x:v>12779</x:v>
      </x:c>
      <x:c r="I348" s="54" t="n">
        <x:v>5751</x:v>
      </x:c>
      <x:c r="J348" s="54" t="n">
        <x:v>127</x:v>
      </x:c>
      <x:c r="K348" s="53" t="n">
        <x:v>8.632123</x:v>
      </x:c>
      <x:c r="L348" s="53" t="n">
        <x:v>39.0491</x:v>
      </x:c>
      <x:c r="M348" s="53" t="n">
        <x:v>-94.4871</x:v>
      </x:c>
      <x:c r="N348" s="54" t="n">
        <x:v>400</x:v>
      </x:c>
      <x:c r="O348" s="54" t="n">
        <x:v>1</x:v>
      </x:c>
    </x:row>
    <x:row r="349">
      <x:c r="A349" s="54" t="n">
        <x:v>345</x:v>
      </x:c>
      <x:c r="B349" s="54" t="n">
        <x:v>2</x:v>
      </x:c>
      <x:c r="C349" s="54" t="n">
        <x:v>3</x:v>
      </x:c>
      <x:c r="D349" s="54" t="n">
        <x:v>1</x:v>
      </x:c>
      <x:c r="E349" s="54" t="n">
        <x:v>64146</x:v>
      </x:c>
      <x:c r="F349" s="54" t="n">
        <x:v>58590</x:v>
      </x:c>
      <x:c r="G349" s="54" t="n">
        <x:v>18833</x:v>
      </x:c>
      <x:c r="H349" s="54" t="n">
        <x:v>7702</x:v>
      </x:c>
      <x:c r="I349" s="54" t="n">
        <x:v>5006</x:v>
      </x:c>
      <x:c r="J349" s="54" t="n">
        <x:v>101</x:v>
      </x:c>
      <x:c r="K349" s="53" t="n">
        <x:v>8.671598</x:v>
      </x:c>
      <x:c r="L349" s="53" t="n">
        <x:v>42.0889</x:v>
      </x:c>
      <x:c r="M349" s="53" t="n">
        <x:v>-71.2597</x:v>
      </x:c>
      <x:c r="N349" s="54" t="n">
        <x:v>250</x:v>
      </x:c>
      <x:c r="O349" s="54" t="n">
        <x:v>0</x:v>
      </x:c>
    </x:row>
    <x:row r="350">
      <x:c r="A350" s="54" t="n">
        <x:v>346</x:v>
      </x:c>
      <x:c r="B350" s="54" t="n">
        <x:v>6</x:v>
      </x:c>
      <x:c r="C350" s="54" t="n">
        <x:v>11</x:v>
      </x:c>
      <x:c r="D350" s="54" t="n">
        <x:v>0</x:v>
      </x:c>
      <x:c r="E350" s="54" t="n">
        <x:v>70492</x:v>
      </x:c>
      <x:c r="F350" s="54" t="n">
        <x:v>60140</x:v>
      </x:c>
      <x:c r="G350" s="54" t="n">
        <x:v>22805</x:v>
      </x:c>
      <x:c r="H350" s="54" t="n">
        <x:v>15224</x:v>
      </x:c>
      <x:c r="I350" s="54" t="n">
        <x:v>7612</x:v>
      </x:c>
      <x:c r="J350" s="54" t="n">
        <x:v>104</x:v>
      </x:c>
      <x:c r="K350" s="53" t="n">
        <x:v>9.603284</x:v>
      </x:c>
      <x:c r="L350" s="53" t="n">
        <x:v>33.9509</x:v>
      </x:c>
      <x:c r="M350" s="53" t="n">
        <x:v>-118.3441</x:v>
      </x:c>
      <x:c r="N350" s="54" t="n">
        <x:v>350</x:v>
      </x:c>
      <x:c r="O350" s="54" t="n">
        <x:v>0</x:v>
      </x:c>
    </x:row>
    <x:row r="351">
      <x:c r="A351" s="54" t="n">
        <x:v>347</x:v>
      </x:c>
      <x:c r="B351" s="54" t="n">
        <x:v>3</x:v>
      </x:c>
      <x:c r="C351" s="54" t="n">
        <x:v>6</x:v>
      </x:c>
      <x:c r="D351" s="54" t="n">
        <x:v>0</x:v>
      </x:c>
      <x:c r="E351" s="54" t="n">
        <x:v>70649</x:v>
      </x:c>
      <x:c r="F351" s="54" t="n">
        <x:v>62646</x:v>
      </x:c>
      <x:c r="G351" s="54" t="n">
        <x:v>3132</x:v>
      </x:c>
      <x:c r="H351" s="54" t="n">
        <x:v>7818</x:v>
      </x:c>
      <x:c r="I351" s="54" t="n">
        <x:v>3518</x:v>
      </x:c>
      <x:c r="J351" s="54" t="n">
        <x:v>117</x:v>
      </x:c>
      <x:c r="K351" s="53" t="n">
        <x:v>10.033037</x:v>
      </x:c>
      <x:c r="L351" s="53" t="n">
        <x:v>32.7506</x:v>
      </x:c>
      <x:c r="M351" s="53" t="n">
        <x:v>-97.0915</x:v>
      </x:c>
      <x:c r="N351" s="54" t="n">
        <x:v>350</x:v>
      </x:c>
      <x:c r="O351" s="54" t="n">
        <x:v>0</x:v>
      </x:c>
    </x:row>
    <x:row r="352">
      <x:c r="A352" s="54" t="n">
        <x:v>348</x:v>
      </x:c>
      <x:c r="B352" s="54" t="n">
        <x:v>6</x:v>
      </x:c>
      <x:c r="C352" s="54" t="n">
        <x:v>11</x:v>
      </x:c>
      <x:c r="D352" s="54" t="n">
        <x:v>0</x:v>
      </x:c>
      <x:c r="E352" s="54" t="n">
        <x:v>70492</x:v>
      </x:c>
      <x:c r="F352" s="54" t="n">
        <x:v>59664</x:v>
      </x:c>
      <x:c r="G352" s="54" t="n">
        <x:v>23214</x:v>
      </x:c>
      <x:c r="H352" s="54" t="n">
        <x:v>10618</x:v>
      </x:c>
      <x:c r="I352" s="54" t="n">
        <x:v>5309</x:v>
      </x:c>
      <x:c r="J352" s="54" t="n">
        <x:v>107</x:v>
      </x:c>
      <x:c r="K352" s="53" t="n">
        <x:v>9.603284</x:v>
      </x:c>
      <x:c r="L352" s="53" t="n">
        <x:v>33.9509</x:v>
      </x:c>
      <x:c r="M352" s="53" t="n">
        <x:v>-118.3441</x:v>
      </x:c>
      <x:c r="N352" s="54" t="n">
        <x:v>350</x:v>
      </x:c>
      <x:c r="O352" s="54" t="n">
        <x:v>0</x:v>
      </x:c>
    </x:row>
    <x:row r="353">
      <x:c r="A353" s="54" t="n">
        <x:v>349</x:v>
      </x:c>
      <x:c r="B353" s="54" t="n">
        <x:v>3</x:v>
      </x:c>
      <x:c r="C353" s="54" t="n">
        <x:v>6</x:v>
      </x:c>
      <x:c r="D353" s="54" t="n">
        <x:v>0</x:v>
      </x:c>
      <x:c r="E353" s="54" t="n">
        <x:v>70649</x:v>
      </x:c>
      <x:c r="F353" s="54" t="n">
        <x:v>60325</x:v>
      </x:c>
      <x:c r="G353" s="54" t="n">
        <x:v>6069</x:v>
      </x:c>
      <x:c r="H353" s="54" t="n">
        <x:v>14513</x:v>
      </x:c>
      <x:c r="I353" s="54" t="n">
        <x:v>6531</x:v>
      </x:c>
      <x:c r="J353" s="54" t="n">
        <x:v>122</x:v>
      </x:c>
      <x:c r="K353" s="53" t="n">
        <x:v>10.033037</x:v>
      </x:c>
      <x:c r="L353" s="53" t="n">
        <x:v>32.7506</x:v>
      </x:c>
      <x:c r="M353" s="53" t="n">
        <x:v>-97.0915</x:v>
      </x:c>
      <x:c r="N353" s="54" t="n">
        <x:v>350</x:v>
      </x:c>
      <x:c r="O353" s="54" t="n">
        <x:v>0</x:v>
      </x:c>
    </x:row>
    <x:row r="354">
      <x:c r="A354" s="54" t="n">
        <x:v>350</x:v>
      </x:c>
      <x:c r="B354" s="54" t="n">
        <x:v>11</x:v>
      </x:c>
      <x:c r="C354" s="54" t="n">
        <x:v>21</x:v>
      </x:c>
      <x:c r="D354" s="54" t="n">
        <x:v>0</x:v>
      </x:c>
      <x:c r="E354" s="54" t="n">
        <x:v>66925</x:v>
      </x:c>
      <x:c r="F354" s="54" t="n">
        <x:v>58126</x:v>
      </x:c>
      <x:c r="G354" s="54" t="n">
        <x:v>27739</x:v>
      </x:c>
      <x:c r="H354" s="54" t="n">
        <x:v>27851</x:v>
      </x:c>
      <x:c r="I354" s="54" t="n">
        <x:v>15318</x:v>
      </x:c>
      <x:c r="J354" s="54" t="n">
        <x:v>66</x:v>
      </x:c>
      <x:c r="K354" s="53" t="n">
        <x:v>8.408439</x:v>
      </x:c>
      <x:c r="L354" s="53" t="n">
        <x:v>47.5917</x:v>
      </x:c>
      <x:c r="M354" s="53" t="n">
        <x:v>-122.3272</x:v>
      </x:c>
      <x:c r="N354" s="54" t="n">
        <x:v>250</x:v>
      </x:c>
      <x:c r="O354" s="54" t="n">
        <x:v>1</x:v>
      </x:c>
    </x:row>
    <x:row r="355">
      <x:c r="A355" s="54" t="n">
        <x:v>351</x:v>
      </x:c>
      <x:c r="B355" s="54" t="n">
        <x:v>9</x:v>
      </x:c>
      <x:c r="C355" s="54" t="n">
        <x:v>17</x:v>
      </x:c>
      <x:c r="D355" s="54" t="n">
        <x:v>0</x:v>
      </x:c>
      <x:c r="E355" s="54" t="n">
        <x:v>68324</x:v>
      </x:c>
      <x:c r="F355" s="54" t="n">
        <x:v>61388</x:v>
      </x:c>
      <x:c r="G355" s="54" t="n">
        <x:v>26494</x:v>
      </x:c>
      <x:c r="H355" s="54" t="n">
        <x:v>25872</x:v>
      </x:c>
      <x:c r="I355" s="54" t="n">
        <x:v>15523</x:v>
      </x:c>
      <x:c r="J355" s="54" t="n">
        <x:v>81</x:v>
      </x:c>
      <x:c r="K355" s="53" t="n">
        <x:v>8.474327</x:v>
      </x:c>
      <x:c r="L355" s="53" t="n">
        <x:v>39.9047</x:v>
      </x:c>
      <x:c r="M355" s="53" t="n">
        <x:v>-75.1736</x:v>
      </x:c>
      <x:c r="N355" s="54" t="n">
        <x:v>250</x:v>
      </x:c>
      <x:c r="O355" s="54" t="n">
        <x:v>1</x:v>
      </x:c>
    </x:row>
    <x:row r="356">
      <x:c r="A356" s="54" t="n">
        <x:v>352</x:v>
      </x:c>
      <x:c r="B356" s="54" t="n">
        <x:v>7</x:v>
      </x:c>
      <x:c r="C356" s="54" t="n">
        <x:v>14</x:v>
      </x:c>
      <x:c r="D356" s="54" t="n">
        <x:v>0</x:v>
      </x:c>
      <x:c r="E356" s="54" t="n">
        <x:v>64478</x:v>
      </x:c>
      <x:c r="F356" s="54" t="n">
        <x:v>56224</x:v>
      </x:c>
      <x:c r="G356" s="54" t="n">
        <x:v>11297</x:v>
      </x:c>
      <x:c r="H356" s="54" t="n">
        <x:v>8963</x:v>
      </x:c>
      <x:c r="I356" s="54" t="n">
        <x:v>4033</x:v>
      </x:c>
      <x:c r="J356" s="54" t="n">
        <x:v>126</x:v>
      </x:c>
      <x:c r="K356" s="53" t="n">
        <x:v>8.69743</x:v>
      </x:c>
      <x:c r="L356" s="53" t="n">
        <x:v>25.9549</x:v>
      </x:c>
      <x:c r="M356" s="53" t="n">
        <x:v>-80.2383</x:v>
      </x:c>
      <x:c r="N356" s="54" t="n">
        <x:v>350</x:v>
      </x:c>
      <x:c r="O356" s="54" t="n">
        <x:v>0</x:v>
      </x:c>
    </x:row>
    <x:row r="357">
      <x:c r="A357" s="54" t="n">
        <x:v>353</x:v>
      </x:c>
      <x:c r="B357" s="54" t="n">
        <x:v>7</x:v>
      </x:c>
      <x:c r="C357" s="54" t="n">
        <x:v>13</x:v>
      </x:c>
      <x:c r="D357" s="54" t="n">
        <x:v>1</x:v>
      </x:c>
      <x:c r="E357" s="54" t="n">
        <x:v>64478</x:v>
      </x:c>
      <x:c r="F357" s="54" t="n">
        <x:v>61402</x:v>
      </x:c>
      <x:c r="G357" s="54" t="n">
        <x:v>17619</x:v>
      </x:c>
      <x:c r="H357" s="54" t="n">
        <x:v>10004</x:v>
      </x:c>
      <x:c r="I357" s="54" t="n">
        <x:v>5502</x:v>
      </x:c>
      <x:c r="J357" s="54" t="n">
        <x:v>132</x:v>
      </x:c>
      <x:c r="K357" s="53" t="n">
        <x:v>8.69743</x:v>
      </x:c>
      <x:c r="L357" s="53" t="n">
        <x:v>25.957</x:v>
      </x:c>
      <x:c r="M357" s="53" t="n">
        <x:v>-80.2425</x:v>
      </x:c>
      <x:c r="N357" s="54" t="n">
        <x:v>400</x:v>
      </x:c>
      <x:c r="O357" s="54" t="n">
        <x:v>1</x:v>
      </x:c>
    </x:row>
    <x:row r="358">
      <x:c r="A358" s="54" t="n">
        <x:v>354</x:v>
      </x:c>
      <x:c r="B358" s="54" t="n">
        <x:v>8</x:v>
      </x:c>
      <x:c r="C358" s="54" t="n">
        <x:v>15</x:v>
      </x:c>
      <x:c r="D358" s="54" t="n">
        <x:v>0</x:v>
      </x:c>
      <x:c r="E358" s="54" t="n">
        <x:v>80663</x:v>
      </x:c>
      <x:c r="F358" s="54" t="n">
        <x:v>71305</x:v>
      </x:c>
      <x:c r="G358" s="54" t="n">
        <x:v>21007</x:v>
      </x:c>
      <x:c r="H358" s="54" t="n">
        <x:v>47904</x:v>
      </x:c>
      <x:c r="I358" s="54" t="n">
        <x:v>26347</x:v>
      </x:c>
      <x:c r="J358" s="54" t="n">
        <x:v>66</x:v>
      </x:c>
      <x:c r="K358" s="53" t="n">
        <x:v>10.438681</x:v>
      </x:c>
      <x:c r="L358" s="53" t="n">
        <x:v>40.807664</x:v>
      </x:c>
      <x:c r="M358" s="53" t="n">
        <x:v>-74.069833</x:v>
      </x:c>
      <x:c r="N358" s="54" t="n">
        <x:v>250</x:v>
      </x:c>
      <x:c r="O358" s="54" t="n">
        <x:v>0</x:v>
      </x:c>
    </x:row>
    <x:row r="359">
      <x:c r="A359" s="54" t="n">
        <x:v>355</x:v>
      </x:c>
      <x:c r="B359" s="54" t="n">
        <x:v>6</x:v>
      </x:c>
      <x:c r="C359" s="54" t="n">
        <x:v>11</x:v>
      </x:c>
      <x:c r="D359" s="54" t="n">
        <x:v>0</x:v>
      </x:c>
      <x:c r="E359" s="54" t="n">
        <x:v>70492</x:v>
      </x:c>
      <x:c r="F359" s="54" t="n">
        <x:v>57386</x:v>
      </x:c>
      <x:c r="G359" s="54" t="n">
        <x:v>19962</x:v>
      </x:c>
      <x:c r="H359" s="54" t="n">
        <x:v>14302</x:v>
      </x:c>
      <x:c r="I359" s="54" t="n">
        <x:v>7151</x:v>
      </x:c>
      <x:c r="J359" s="54" t="n">
        <x:v>107</x:v>
      </x:c>
      <x:c r="K359" s="53" t="n">
        <x:v>9.603284</x:v>
      </x:c>
      <x:c r="L359" s="53" t="n">
        <x:v>33.9509</x:v>
      </x:c>
      <x:c r="M359" s="53" t="n">
        <x:v>-118.3441</x:v>
      </x:c>
      <x:c r="N359" s="54" t="n">
        <x:v>350</x:v>
      </x:c>
      <x:c r="O359" s="54" t="n">
        <x:v>0</x:v>
      </x:c>
    </x:row>
    <x:row r="360">
      <x:c r="A360" s="54" t="n">
        <x:v>356</x:v>
      </x:c>
      <x:c r="B360" s="54" t="n">
        <x:v>9</x:v>
      </x:c>
      <x:c r="C360" s="54" t="n">
        <x:v>17</x:v>
      </x:c>
      <x:c r="D360" s="54" t="n">
        <x:v>0</x:v>
      </x:c>
      <x:c r="E360" s="54" t="n">
        <x:v>68324</x:v>
      </x:c>
      <x:c r="F360" s="54" t="n">
        <x:v>63183</x:v>
      </x:c>
      <x:c r="G360" s="54" t="n">
        <x:v>28962</x:v>
      </x:c>
      <x:c r="H360" s="54" t="n">
        <x:v>28620</x:v>
      </x:c>
      <x:c r="I360" s="54" t="n">
        <x:v>17172</x:v>
      </x:c>
      <x:c r="J360" s="54" t="n">
        <x:v>75</x:v>
      </x:c>
      <x:c r="K360" s="53" t="n">
        <x:v>8.474327</x:v>
      </x:c>
      <x:c r="L360" s="53" t="n">
        <x:v>39.9047</x:v>
      </x:c>
      <x:c r="M360" s="53" t="n">
        <x:v>-75.1736</x:v>
      </x:c>
      <x:c r="N360" s="54" t="n">
        <x:v>250</x:v>
      </x:c>
      <x:c r="O360" s="54" t="n">
        <x:v>1</x:v>
      </x:c>
    </x:row>
    <x:row r="361">
      <x:c r="A361" s="54" t="n">
        <x:v>357</x:v>
      </x:c>
      <x:c r="B361" s="54" t="n">
        <x:v>7</x:v>
      </x:c>
      <x:c r="C361" s="54" t="n">
        <x:v>14</x:v>
      </x:c>
      <x:c r="D361" s="54" t="n">
        <x:v>0</x:v>
      </x:c>
      <x:c r="E361" s="54" t="n">
        <x:v>64478</x:v>
      </x:c>
      <x:c r="F361" s="54" t="n">
        <x:v>47854</x:v>
      </x:c>
      <x:c r="G361" s="54" t="n">
        <x:v>9326</x:v>
      </x:c>
      <x:c r="H361" s="54" t="n">
        <x:v>6588</x:v>
      </x:c>
      <x:c r="I361" s="54" t="n">
        <x:v>2965</x:v>
      </x:c>
      <x:c r="J361" s="54" t="n">
        <x:v>119</x:v>
      </x:c>
      <x:c r="K361" s="53" t="n">
        <x:v>8.69743</x:v>
      </x:c>
      <x:c r="L361" s="53" t="n">
        <x:v>25.9549</x:v>
      </x:c>
      <x:c r="M361" s="53" t="n">
        <x:v>-80.2383</x:v>
      </x:c>
      <x:c r="N361" s="54" t="n">
        <x:v>350</x:v>
      </x:c>
      <x:c r="O361" s="54" t="n">
        <x:v>0</x:v>
      </x:c>
    </x:row>
    <x:row r="362">
      <x:c r="A362" s="54" t="n">
        <x:v>358</x:v>
      </x:c>
      <x:c r="B362" s="54" t="n">
        <x:v>5</x:v>
      </x:c>
      <x:c r="C362" s="54" t="n">
        <x:v>10</x:v>
      </x:c>
      <x:c r="D362" s="54" t="n">
        <x:v>0</x:v>
      </x:c>
      <x:c r="E362" s="54" t="n">
        <x:v>69045</x:v>
      </x:c>
      <x:c r="F362" s="54" t="n">
        <x:v>66997</x:v>
      </x:c>
      <x:c r="G362" s="54" t="n">
        <x:v>4928</x:v>
      </x:c>
      <x:c r="H362" s="54" t="n">
        <x:v>7016</x:v>
      </x:c>
      <x:c r="I362" s="54" t="n">
        <x:v>3157</x:v>
      </x:c>
      <x:c r="J362" s="54" t="n">
        <x:v>127</x:v>
      </x:c>
      <x:c r="K362" s="53" t="n">
        <x:v>8.632123</x:v>
      </x:c>
      <x:c r="L362" s="53" t="n">
        <x:v>39.0491</x:v>
      </x:c>
      <x:c r="M362" s="53" t="n">
        <x:v>-94.4871</x:v>
      </x:c>
      <x:c r="N362" s="54" t="n">
        <x:v>400</x:v>
      </x:c>
      <x:c r="O362" s="54" t="n">
        <x:v>0</x:v>
      </x:c>
    </x:row>
    <x:row r="363">
      <x:c r="A363" s="54" t="n">
        <x:v>359</x:v>
      </x:c>
      <x:c r="B363" s="54" t="n">
        <x:v>2</x:v>
      </x:c>
      <x:c r="C363" s="54" t="n">
        <x:v>3</x:v>
      </x:c>
      <x:c r="D363" s="54" t="n">
        <x:v>0</x:v>
      </x:c>
      <x:c r="E363" s="54" t="n">
        <x:v>64146</x:v>
      </x:c>
      <x:c r="F363" s="54" t="n">
        <x:v>51903</x:v>
      </x:c>
      <x:c r="G363" s="54" t="n">
        <x:v>13969</x:v>
      </x:c>
      <x:c r="H363" s="54" t="n">
        <x:v>6904</x:v>
      </x:c>
      <x:c r="I363" s="54" t="n">
        <x:v>4488</x:v>
      </x:c>
      <x:c r="J363" s="54" t="n">
        <x:v>101</x:v>
      </x:c>
      <x:c r="K363" s="53" t="n">
        <x:v>8.671598</x:v>
      </x:c>
      <x:c r="L363" s="53" t="n">
        <x:v>42.0889</x:v>
      </x:c>
      <x:c r="M363" s="53" t="n">
        <x:v>-71.2597</x:v>
      </x:c>
      <x:c r="N363" s="54" t="n">
        <x:v>250</x:v>
      </x:c>
      <x:c r="O363" s="54" t="n">
        <x:v>0</x:v>
      </x:c>
    </x:row>
    <x:row r="364">
      <x:c r="A364" s="54" t="n">
        <x:v>360</x:v>
      </x:c>
      <x:c r="B364" s="54" t="n">
        <x:v>9</x:v>
      </x:c>
      <x:c r="C364" s="54" t="n">
        <x:v>17</x:v>
      </x:c>
      <x:c r="D364" s="54" t="n">
        <x:v>0</x:v>
      </x:c>
      <x:c r="E364" s="54" t="n">
        <x:v>68324</x:v>
      </x:c>
      <x:c r="F364" s="54" t="n">
        <x:v>65208</x:v>
      </x:c>
      <x:c r="G364" s="54" t="n">
        <x:v>32691</x:v>
      </x:c>
      <x:c r="H364" s="54" t="n">
        <x:v>31887</x:v>
      </x:c>
      <x:c r="I364" s="54" t="n">
        <x:v>19132</x:v>
      </x:c>
      <x:c r="J364" s="54" t="n">
        <x:v>79</x:v>
      </x:c>
      <x:c r="K364" s="53" t="n">
        <x:v>8.474327</x:v>
      </x:c>
      <x:c r="L364" s="53" t="n">
        <x:v>39.9047</x:v>
      </x:c>
      <x:c r="M364" s="53" t="n">
        <x:v>-75.1736</x:v>
      </x:c>
      <x:c r="N364" s="54" t="n">
        <x:v>250</x:v>
      </x:c>
      <x:c r="O364" s="54" t="n">
        <x:v>1</x:v>
      </x:c>
    </x:row>
    <x:row r="365">
      <x:c r="A365" s="54" t="n">
        <x:v>361</x:v>
      </x:c>
      <x:c r="B365" s="54" t="n">
        <x:v>10</x:v>
      </x:c>
      <x:c r="C365" s="54" t="n">
        <x:v>19</x:v>
      </x:c>
      <x:c r="D365" s="54" t="n">
        <x:v>0</x:v>
      </x:c>
      <x:c r="E365" s="54" t="n">
        <x:v>68827</x:v>
      </x:c>
      <x:c r="F365" s="54" t="n">
        <x:v>58986</x:v>
      </x:c>
      <x:c r="G365" s="54" t="n">
        <x:v>34996</x:v>
      </x:c>
      <x:c r="H365" s="54" t="n">
        <x:v>22259</x:v>
      </x:c>
      <x:c r="I365" s="54" t="n">
        <x:v>14468</x:v>
      </x:c>
      <x:c r="J365" s="54" t="n">
        <x:v>100</x:v>
      </x:c>
      <x:c r="K365" s="53" t="n">
        <x:v>8.807888</x:v>
      </x:c>
      <x:c r="L365" s="53" t="n">
        <x:v>37.403468</x:v>
      </x:c>
      <x:c r="M365" s="53" t="n">
        <x:v>-121.974908</x:v>
      </x:c>
      <x:c r="N365" s="54" t="n">
        <x:v>250</x:v>
      </x:c>
      <x:c r="O365" s="54" t="n">
        <x:v>1</x:v>
      </x:c>
    </x:row>
    <x:row r="366">
      <x:c r="A366" s="54" t="n">
        <x:v>362</x:v>
      </x:c>
      <x:c r="B366" s="54" t="n">
        <x:v>7</x:v>
      </x:c>
      <x:c r="C366" s="54" t="n">
        <x:v>13</x:v>
      </x:c>
      <x:c r="D366" s="54" t="n">
        <x:v>0</x:v>
      </x:c>
      <x:c r="E366" s="54" t="n">
        <x:v>64478</x:v>
      </x:c>
      <x:c r="F366" s="54" t="n">
        <x:v>51951</x:v>
      </x:c>
      <x:c r="G366" s="54" t="n">
        <x:v>14661</x:v>
      </x:c>
      <x:c r="H366" s="54" t="n">
        <x:v>8755</x:v>
      </x:c>
      <x:c r="I366" s="54" t="n">
        <x:v>4815</x:v>
      </x:c>
      <x:c r="J366" s="54" t="n">
        <x:v>123</x:v>
      </x:c>
      <x:c r="K366" s="53" t="n">
        <x:v>8.69743</x:v>
      </x:c>
      <x:c r="L366" s="53" t="n">
        <x:v>25.957</x:v>
      </x:c>
      <x:c r="M366" s="53" t="n">
        <x:v>-80.2425</x:v>
      </x:c>
      <x:c r="N366" s="54" t="n">
        <x:v>400</x:v>
      </x:c>
      <x:c r="O366" s="54" t="n">
        <x:v>0</x:v>
      </x:c>
    </x:row>
    <x:row r="367">
      <x:c r="A367" s="54" t="n">
        <x:v>363</x:v>
      </x:c>
      <x:c r="B367" s="54" t="n">
        <x:v>11</x:v>
      </x:c>
      <x:c r="C367" s="54" t="n">
        <x:v>21</x:v>
      </x:c>
      <x:c r="D367" s="54" t="n">
        <x:v>2</x:v>
      </x:c>
      <x:c r="E367" s="54" t="n">
        <x:v>66925</x:v>
      </x:c>
      <x:c r="F367" s="54" t="n">
        <x:v>59921</x:v>
      </x:c>
      <x:c r="G367" s="54" t="n">
        <x:v>29765</x:v>
      </x:c>
      <x:c r="H367" s="54" t="n">
        <x:v>31471</x:v>
      </x:c>
      <x:c r="I367" s="54" t="n">
        <x:v>17309</x:v>
      </x:c>
      <x:c r="J367" s="54" t="n">
        <x:v>83</x:v>
      </x:c>
      <x:c r="K367" s="53" t="n">
        <x:v>8.408439</x:v>
      </x:c>
      <x:c r="L367" s="53" t="n">
        <x:v>47.5917</x:v>
      </x:c>
      <x:c r="M367" s="53" t="n">
        <x:v>-122.3272</x:v>
      </x:c>
      <x:c r="N367" s="54" t="n">
        <x:v>250</x:v>
      </x:c>
      <x:c r="O367" s="54" t="n">
        <x:v>1</x:v>
      </x:c>
    </x:row>
    <x:row r="368">
      <x:c r="A368" s="54" t="n">
        <x:v>364</x:v>
      </x:c>
      <x:c r="B368" s="54" t="n">
        <x:v>7</x:v>
      </x:c>
      <x:c r="C368" s="54" t="n">
        <x:v>13</x:v>
      </x:c>
      <x:c r="D368" s="54" t="n">
        <x:v>0</x:v>
      </x:c>
      <x:c r="E368" s="54" t="n">
        <x:v>64478</x:v>
      </x:c>
      <x:c r="F368" s="54" t="n">
        <x:v>53248</x:v>
      </x:c>
      <x:c r="G368" s="54" t="n">
        <x:v>14687</x:v>
      </x:c>
      <x:c r="H368" s="54" t="n">
        <x:v>6397</x:v>
      </x:c>
      <x:c r="I368" s="54" t="n">
        <x:v>3518</x:v>
      </x:c>
      <x:c r="J368" s="54" t="n">
        <x:v>121</x:v>
      </x:c>
      <x:c r="K368" s="53" t="n">
        <x:v>8.69743</x:v>
      </x:c>
      <x:c r="L368" s="53" t="n">
        <x:v>25.957</x:v>
      </x:c>
      <x:c r="M368" s="53" t="n">
        <x:v>-80.2425</x:v>
      </x:c>
      <x:c r="N368" s="54" t="n">
        <x:v>400</x:v>
      </x:c>
      <x:c r="O368" s="54" t="n">
        <x:v>0</x:v>
      </x:c>
    </x:row>
    <x:row r="369">
      <x:c r="A369" s="54" t="n">
        <x:v>365</x:v>
      </x:c>
      <x:c r="B369" s="54" t="n">
        <x:v>4</x:v>
      </x:c>
      <x:c r="C369" s="54" t="n">
        <x:v>7</x:v>
      </x:c>
      <x:c r="D369" s="54" t="n">
        <x:v>1</x:v>
      </x:c>
      <x:c r="E369" s="54" t="n">
        <x:v>68777</x:v>
      </x:c>
      <x:c r="F369" s="54" t="n">
        <x:v>56876</x:v>
      </x:c>
      <x:c r="G369" s="54" t="n">
        <x:v>19903</x:v>
      </x:c>
      <x:c r="H369" s="54" t="n">
        <x:v>9846</x:v>
      </x:c>
      <x:c r="I369" s="54" t="n">
        <x:v>5908</x:v>
      </x:c>
      <x:c r="J369" s="54" t="n">
        <x:v>98</x:v>
      </x:c>
      <x:c r="K369" s="53" t="n">
        <x:v>9.092387</x:v>
      </x:c>
      <x:c r="L369" s="53" t="n">
        <x:v>29.6852</x:v>
      </x:c>
      <x:c r="M369" s="53" t="n">
        <x:v>-95.407</x:v>
      </x:c>
      <x:c r="N369" s="54" t="n">
        <x:v>250</x:v>
      </x:c>
      <x:c r="O369" s="54" t="n">
        <x:v>0</x:v>
      </x:c>
    </x:row>
    <x:row r="370">
      <x:c r="A370" s="54" t="n">
        <x:v>366</x:v>
      </x:c>
      <x:c r="B370" s="54" t="n">
        <x:v>5</x:v>
      </x:c>
      <x:c r="C370" s="54" t="n">
        <x:v>10</x:v>
      </x:c>
      <x:c r="D370" s="54" t="n">
        <x:v>0</x:v>
      </x:c>
      <x:c r="E370" s="54" t="n">
        <x:v>69045</x:v>
      </x:c>
      <x:c r="F370" s="54" t="n">
        <x:v>59607</x:v>
      </x:c>
      <x:c r="G370" s="54" t="n">
        <x:v>4034</x:v>
      </x:c>
      <x:c r="H370" s="54" t="n">
        <x:v>9682</x:v>
      </x:c>
      <x:c r="I370" s="54" t="n">
        <x:v>4357</x:v>
      </x:c>
      <x:c r="J370" s="54" t="n">
        <x:v>94</x:v>
      </x:c>
      <x:c r="K370" s="53" t="n">
        <x:v>8.632123</x:v>
      </x:c>
      <x:c r="L370" s="53" t="n">
        <x:v>39.0491</x:v>
      </x:c>
      <x:c r="M370" s="53" t="n">
        <x:v>-94.4871</x:v>
      </x:c>
      <x:c r="N370" s="54" t="n">
        <x:v>400</x:v>
      </x:c>
      <x:c r="O370" s="54" t="n">
        <x:v>0</x:v>
      </x:c>
    </x:row>
    <x:row r="371">
      <x:c r="A371" s="54" t="n">
        <x:v>367</x:v>
      </x:c>
      <x:c r="B371" s="54" t="n">
        <x:v>10</x:v>
      </x:c>
      <x:c r="C371" s="54" t="n">
        <x:v>19</x:v>
      </x:c>
      <x:c r="D371" s="54" t="n">
        <x:v>0</x:v>
      </x:c>
      <x:c r="E371" s="54" t="n">
        <x:v>68827</x:v>
      </x:c>
      <x:c r="F371" s="54" t="n">
        <x:v>53429</x:v>
      </x:c>
      <x:c r="G371" s="54" t="n">
        <x:v>28898</x:v>
      </x:c>
      <x:c r="H371" s="54" t="n">
        <x:v>18766</x:v>
      </x:c>
      <x:c r="I371" s="54" t="n">
        <x:v>12198</x:v>
      </x:c>
      <x:c r="J371" s="54" t="n">
        <x:v>92</x:v>
      </x:c>
      <x:c r="K371" s="53" t="n">
        <x:v>8.807888</x:v>
      </x:c>
      <x:c r="L371" s="53" t="n">
        <x:v>37.403468</x:v>
      </x:c>
      <x:c r="M371" s="53" t="n">
        <x:v>-121.974908</x:v>
      </x:c>
      <x:c r="N371" s="54" t="n">
        <x:v>250</x:v>
      </x:c>
      <x:c r="O371" s="54" t="n">
        <x:v>0</x:v>
      </x:c>
    </x:row>
    <x:row r="372">
      <x:c r="A372" s="54" t="n">
        <x:v>368</x:v>
      </x:c>
      <x:c r="B372" s="54" t="n">
        <x:v>1</x:v>
      </x:c>
      <x:c r="C372" s="54" t="n">
        <x:v>1</x:v>
      </x:c>
      <x:c r="D372" s="54" t="n">
        <x:v>3</x:v>
      </x:c>
      <x:c r="E372" s="54" t="n">
        <x:v>68239</x:v>
      </x:c>
      <x:c r="F372" s="54" t="n">
        <x:v>62886</x:v>
      </x:c>
      <x:c r="G372" s="54" t="n">
        <x:v>30924</x:v>
      </x:c>
      <x:c r="H372" s="54" t="n">
        <x:v>22091</x:v>
      </x:c>
      <x:c r="I372" s="54" t="n">
        <x:v>12813</x:v>
      </x:c>
      <x:c r="J372" s="54" t="n">
        <x:v>72</x:v>
      </x:c>
      <x:c r="K372" s="53" t="n">
        <x:v>9.391018</x:v>
      </x:c>
      <x:c r="L372" s="53" t="n">
        <x:v>33.7565</x:v>
      </x:c>
      <x:c r="M372" s="53" t="n">
        <x:v>-84.4038</x:v>
      </x:c>
      <x:c r="N372" s="54" t="n">
        <x:v>250</x:v>
      </x:c>
      <x:c r="O372" s="54" t="n">
        <x:v>1</x:v>
      </x:c>
    </x:row>
    <x:row r="373">
      <x:c r="A373" s="54" t="n">
        <x:v>369</x:v>
      </x:c>
      <x:c r="B373" s="54" t="n">
        <x:v>8</x:v>
      </x:c>
      <x:c r="C373" s="54" t="n">
        <x:v>15</x:v>
      </x:c>
      <x:c r="D373" s="54" t="n">
        <x:v>0</x:v>
      </x:c>
      <x:c r="E373" s="54" t="n">
        <x:v>80663</x:v>
      </x:c>
      <x:c r="F373" s="54" t="n">
        <x:v>66621</x:v>
      </x:c>
      <x:c r="G373" s="54" t="n">
        <x:v>17949</x:v>
      </x:c>
      <x:c r="H373" s="54" t="n">
        <x:v>41279</x:v>
      </x:c>
      <x:c r="I373" s="54" t="n">
        <x:v>22703</x:v>
      </x:c>
      <x:c r="J373" s="54" t="n">
        <x:v>67</x:v>
      </x:c>
      <x:c r="K373" s="53" t="n">
        <x:v>10.438681</x:v>
      </x:c>
      <x:c r="L373" s="53" t="n">
        <x:v>40.807664</x:v>
      </x:c>
      <x:c r="M373" s="53" t="n">
        <x:v>-74.069833</x:v>
      </x:c>
      <x:c r="N373" s="54" t="n">
        <x:v>250</x:v>
      </x:c>
      <x:c r="O373" s="54" t="n">
        <x:v>0</x:v>
      </x:c>
    </x:row>
    <x:row r="374">
      <x:c r="A374" s="54" t="n">
        <x:v>370</x:v>
      </x:c>
      <x:c r="B374" s="54" t="n">
        <x:v>6</x:v>
      </x:c>
      <x:c r="C374" s="54" t="n">
        <x:v>11</x:v>
      </x:c>
      <x:c r="D374" s="54" t="n">
        <x:v>0</x:v>
      </x:c>
      <x:c r="E374" s="54" t="n">
        <x:v>70492</x:v>
      </x:c>
      <x:c r="F374" s="54" t="n">
        <x:v>67583</x:v>
      </x:c>
      <x:c r="G374" s="54" t="n">
        <x:v>25297</x:v>
      </x:c>
      <x:c r="H374" s="54" t="n">
        <x:v>16675</x:v>
      </x:c>
      <x:c r="I374" s="54" t="n">
        <x:v>8338</x:v>
      </x:c>
      <x:c r="J374" s="54" t="n">
        <x:v>110</x:v>
      </x:c>
      <x:c r="K374" s="53" t="n">
        <x:v>9.603284</x:v>
      </x:c>
      <x:c r="L374" s="53" t="n">
        <x:v>33.9509</x:v>
      </x:c>
      <x:c r="M374" s="53" t="n">
        <x:v>-118.3441</x:v>
      </x:c>
      <x:c r="N374" s="54" t="n">
        <x:v>350</x:v>
      </x:c>
      <x:c r="O374" s="54" t="n">
        <x:v>1</x:v>
      </x:c>
    </x:row>
    <x:row r="375">
      <x:c r="A375" s="54" t="n">
        <x:v>371</x:v>
      </x:c>
      <x:c r="B375" s="54" t="n">
        <x:v>2</x:v>
      </x:c>
      <x:c r="C375" s="54" t="n">
        <x:v>3</x:v>
      </x:c>
      <x:c r="D375" s="54" t="n">
        <x:v>0</x:v>
      </x:c>
      <x:c r="E375" s="54" t="n">
        <x:v>64146</x:v>
      </x:c>
      <x:c r="F375" s="54" t="n">
        <x:v>52114</x:v>
      </x:c>
      <x:c r="G375" s="54" t="n">
        <x:v>15029</x:v>
      </x:c>
      <x:c r="H375" s="54" t="n">
        <x:v>15260</x:v>
      </x:c>
      <x:c r="I375" s="54" t="n">
        <x:v>9919</x:v>
      </x:c>
      <x:c r="J375" s="54" t="n">
        <x:v>89</x:v>
      </x:c>
      <x:c r="K375" s="53" t="n">
        <x:v>8.671598</x:v>
      </x:c>
      <x:c r="L375" s="53" t="n">
        <x:v>42.0889</x:v>
      </x:c>
      <x:c r="M375" s="53" t="n">
        <x:v>-71.2597</x:v>
      </x:c>
      <x:c r="N375" s="54" t="n">
        <x:v>250</x:v>
      </x:c>
      <x:c r="O375" s="54" t="n">
        <x:v>0</x:v>
      </x:c>
    </x:row>
    <x:row r="376">
      <x:c r="A376" s="54" t="n">
        <x:v>372</x:v>
      </x:c>
      <x:c r="B376" s="54" t="n">
        <x:v>2</x:v>
      </x:c>
      <x:c r="C376" s="54" t="n">
        <x:v>3</x:v>
      </x:c>
      <x:c r="D376" s="54" t="n">
        <x:v>0</x:v>
      </x:c>
      <x:c r="E376" s="54" t="n">
        <x:v>64146</x:v>
      </x:c>
      <x:c r="F376" s="54" t="n">
        <x:v>56281</x:v>
      </x:c>
      <x:c r="G376" s="54" t="n">
        <x:v>19897</x:v>
      </x:c>
      <x:c r="H376" s="54" t="n">
        <x:v>11154</x:v>
      </x:c>
      <x:c r="I376" s="54" t="n">
        <x:v>7250</x:v>
      </x:c>
      <x:c r="J376" s="54" t="n">
        <x:v>117</x:v>
      </x:c>
      <x:c r="K376" s="53" t="n">
        <x:v>8.671598</x:v>
      </x:c>
      <x:c r="L376" s="53" t="n">
        <x:v>42.0889</x:v>
      </x:c>
      <x:c r="M376" s="53" t="n">
        <x:v>-71.2597</x:v>
      </x:c>
      <x:c r="N376" s="54" t="n">
        <x:v>250</x:v>
      </x:c>
      <x:c r="O376" s="54" t="n">
        <x:v>0</x:v>
      </x:c>
    </x:row>
    <x:row r="377">
      <x:c r="A377" s="54" t="n">
        <x:v>373</x:v>
      </x:c>
      <x:c r="B377" s="54" t="n">
        <x:v>2</x:v>
      </x:c>
      <x:c r="C377" s="54" t="n">
        <x:v>3</x:v>
      </x:c>
      <x:c r="D377" s="54" t="n">
        <x:v>0</x:v>
      </x:c>
      <x:c r="E377" s="54" t="n">
        <x:v>64146</x:v>
      </x:c>
      <x:c r="F377" s="54" t="n">
        <x:v>58351</x:v>
      </x:c>
      <x:c r="G377" s="54" t="n">
        <x:v>17358</x:v>
      </x:c>
      <x:c r="H377" s="54" t="n">
        <x:v>9108</x:v>
      </x:c>
      <x:c r="I377" s="54" t="n">
        <x:v>5920</x:v>
      </x:c>
      <x:c r="J377" s="54" t="n">
        <x:v>87</x:v>
      </x:c>
      <x:c r="K377" s="53" t="n">
        <x:v>8.671598</x:v>
      </x:c>
      <x:c r="L377" s="53" t="n">
        <x:v>42.0889</x:v>
      </x:c>
      <x:c r="M377" s="53" t="n">
        <x:v>-71.2597</x:v>
      </x:c>
      <x:c r="N377" s="54" t="n">
        <x:v>250</x:v>
      </x:c>
      <x:c r="O377" s="54" t="n">
        <x:v>0</x:v>
      </x:c>
    </x:row>
    <x:row r="378">
      <x:c r="A378" s="54" t="n">
        <x:v>374</x:v>
      </x:c>
      <x:c r="B378" s="54" t="n">
        <x:v>11</x:v>
      </x:c>
      <x:c r="C378" s="54" t="n">
        <x:v>21</x:v>
      </x:c>
      <x:c r="D378" s="54" t="n">
        <x:v>0</x:v>
      </x:c>
      <x:c r="E378" s="54" t="n">
        <x:v>66925</x:v>
      </x:c>
      <x:c r="F378" s="54" t="n">
        <x:v>63666</x:v>
      </x:c>
      <x:c r="G378" s="54" t="n">
        <x:v>36363</x:v>
      </x:c>
      <x:c r="H378" s="54" t="n">
        <x:v>36886</x:v>
      </x:c>
      <x:c r="I378" s="54" t="n">
        <x:v>20287</x:v>
      </x:c>
      <x:c r="J378" s="54" t="n">
        <x:v>72</x:v>
      </x:c>
      <x:c r="K378" s="53" t="n">
        <x:v>8.408439</x:v>
      </x:c>
      <x:c r="L378" s="53" t="n">
        <x:v>47.5917</x:v>
      </x:c>
      <x:c r="M378" s="53" t="n">
        <x:v>-122.3272</x:v>
      </x:c>
      <x:c r="N378" s="54" t="n">
        <x:v>250</x:v>
      </x:c>
      <x:c r="O378" s="54" t="n">
        <x:v>1</x:v>
      </x:c>
    </x:row>
    <x:row r="379">
      <x:c r="A379" s="54" t="n">
        <x:v>375</x:v>
      </x:c>
      <x:c r="B379" s="54" t="n">
        <x:v>6</x:v>
      </x:c>
      <x:c r="C379" s="54" t="n">
        <x:v>11</x:v>
      </x:c>
      <x:c r="D379" s="54" t="n">
        <x:v>0</x:v>
      </x:c>
      <x:c r="E379" s="54" t="n">
        <x:v>70492</x:v>
      </x:c>
      <x:c r="F379" s="54" t="n">
        <x:v>63472</x:v>
      </x:c>
      <x:c r="G379" s="54" t="n">
        <x:v>20777</x:v>
      </x:c>
      <x:c r="H379" s="54" t="n">
        <x:v>17335</x:v>
      </x:c>
      <x:c r="I379" s="54" t="n">
        <x:v>8668</x:v>
      </x:c>
      <x:c r="J379" s="54" t="n">
        <x:v>129</x:v>
      </x:c>
      <x:c r="K379" s="53" t="n">
        <x:v>9.603284</x:v>
      </x:c>
      <x:c r="L379" s="53" t="n">
        <x:v>33.9509</x:v>
      </x:c>
      <x:c r="M379" s="53" t="n">
        <x:v>-118.3441</x:v>
      </x:c>
      <x:c r="N379" s="54" t="n">
        <x:v>350</x:v>
      </x:c>
      <x:c r="O379" s="54" t="n">
        <x:v>1</x:v>
      </x:c>
    </x:row>
    <x:row r="380">
      <x:c r="A380" s="54" t="n">
        <x:v>376</x:v>
      </x:c>
      <x:c r="B380" s="54" t="n">
        <x:v>10</x:v>
      </x:c>
      <x:c r="C380" s="54" t="n">
        <x:v>19</x:v>
      </x:c>
      <x:c r="D380" s="54" t="n">
        <x:v>2</x:v>
      </x:c>
      <x:c r="E380" s="54" t="n">
        <x:v>68827</x:v>
      </x:c>
      <x:c r="F380" s="54" t="n">
        <x:v>63415</x:v>
      </x:c>
      <x:c r="G380" s="54" t="n">
        <x:v>34731</x:v>
      </x:c>
      <x:c r="H380" s="54" t="n">
        <x:v>26509</x:v>
      </x:c>
      <x:c r="I380" s="54" t="n">
        <x:v>17231</x:v>
      </x:c>
      <x:c r="J380" s="54" t="n">
        <x:v>94</x:v>
      </x:c>
      <x:c r="K380" s="53" t="n">
        <x:v>8.807888</x:v>
      </x:c>
      <x:c r="L380" s="53" t="n">
        <x:v>37.403468</x:v>
      </x:c>
      <x:c r="M380" s="53" t="n">
        <x:v>-121.974908</x:v>
      </x:c>
      <x:c r="N380" s="54" t="n">
        <x:v>250</x:v>
      </x:c>
      <x:c r="O380" s="54" t="n">
        <x:v>1</x:v>
      </x:c>
    </x:row>
    <x:row r="381">
      <x:c r="A381" s="54" t="n">
        <x:v>377</x:v>
      </x:c>
      <x:c r="B381" s="54" t="n">
        <x:v>8</x:v>
      </x:c>
      <x:c r="C381" s="54" t="n">
        <x:v>15</x:v>
      </x:c>
      <x:c r="D381" s="54" t="n">
        <x:v>0</x:v>
      </x:c>
      <x:c r="E381" s="54" t="n">
        <x:v>80663</x:v>
      </x:c>
      <x:c r="F381" s="54" t="n">
        <x:v>67229</x:v>
      </x:c>
      <x:c r="G381" s="54" t="n">
        <x:v>27208</x:v>
      </x:c>
      <x:c r="H381" s="54" t="n">
        <x:v>39876</x:v>
      </x:c>
      <x:c r="I381" s="54" t="n">
        <x:v>21932</x:v>
      </x:c>
      <x:c r="J381" s="54" t="n">
        <x:v>73</x:v>
      </x:c>
      <x:c r="K381" s="53" t="n">
        <x:v>10.438681</x:v>
      </x:c>
      <x:c r="L381" s="53" t="n">
        <x:v>40.807664</x:v>
      </x:c>
      <x:c r="M381" s="53" t="n">
        <x:v>-74.069833</x:v>
      </x:c>
      <x:c r="N381" s="54" t="n">
        <x:v>250</x:v>
      </x:c>
      <x:c r="O381" s="54" t="n">
        <x:v>0</x:v>
      </x:c>
    </x:row>
    <x:row r="382">
      <x:c r="A382" s="54" t="n">
        <x:v>378</x:v>
      </x:c>
      <x:c r="B382" s="54" t="n">
        <x:v>2</x:v>
      </x:c>
      <x:c r="C382" s="54" t="n">
        <x:v>3</x:v>
      </x:c>
      <x:c r="D382" s="54" t="n">
        <x:v>4</x:v>
      </x:c>
      <x:c r="E382" s="54" t="n">
        <x:v>64146</x:v>
      </x:c>
      <x:c r="F382" s="54" t="n">
        <x:v>54418</x:v>
      </x:c>
      <x:c r="G382" s="54" t="n">
        <x:v>17868</x:v>
      </x:c>
      <x:c r="H382" s="54" t="n">
        <x:v>15063</x:v>
      </x:c>
      <x:c r="I382" s="54" t="n">
        <x:v>9791</x:v>
      </x:c>
      <x:c r="J382" s="54" t="n">
        <x:v>109</x:v>
      </x:c>
      <x:c r="K382" s="53" t="n">
        <x:v>8.671598</x:v>
      </x:c>
      <x:c r="L382" s="53" t="n">
        <x:v>42.0889</x:v>
      </x:c>
      <x:c r="M382" s="53" t="n">
        <x:v>-71.2597</x:v>
      </x:c>
      <x:c r="N382" s="54" t="n">
        <x:v>250</x:v>
      </x:c>
      <x:c r="O382" s="54" t="n">
        <x:v>1</x:v>
      </x:c>
    </x:row>
    <x:row r="383">
      <x:c r="A383" s="54" t="n">
        <x:v>379</x:v>
      </x:c>
      <x:c r="B383" s="54" t="n">
        <x:v>5</x:v>
      </x:c>
      <x:c r="C383" s="54" t="n">
        <x:v>10</x:v>
      </x:c>
      <x:c r="D383" s="54" t="n">
        <x:v>1</x:v>
      </x:c>
      <x:c r="E383" s="54" t="n">
        <x:v>69045</x:v>
      </x:c>
      <x:c r="F383" s="54" t="n">
        <x:v>64849</x:v>
      </x:c>
      <x:c r="G383" s="54" t="n">
        <x:v>8297</x:v>
      </x:c>
      <x:c r="H383" s="54" t="n">
        <x:v>5188</x:v>
      </x:c>
      <x:c r="I383" s="54" t="n">
        <x:v>2335</x:v>
      </x:c>
      <x:c r="J383" s="54" t="n">
        <x:v>127</x:v>
      </x:c>
      <x:c r="K383" s="53" t="n">
        <x:v>8.632123</x:v>
      </x:c>
      <x:c r="L383" s="53" t="n">
        <x:v>39.0491</x:v>
      </x:c>
      <x:c r="M383" s="53" t="n">
        <x:v>-94.4871</x:v>
      </x:c>
      <x:c r="N383" s="54" t="n">
        <x:v>400</x:v>
      </x:c>
      <x:c r="O383" s="54" t="n">
        <x:v>0</x:v>
      </x:c>
    </x:row>
    <x:row r="384">
      <x:c r="A384" s="54" t="n">
        <x:v>380</x:v>
      </x:c>
      <x:c r="B384" s="54" t="n">
        <x:v>2</x:v>
      </x:c>
      <x:c r="C384" s="54" t="n">
        <x:v>4</x:v>
      </x:c>
      <x:c r="D384" s="54" t="n">
        <x:v>1</x:v>
      </x:c>
      <x:c r="E384" s="54" t="n">
        <x:v>64146</x:v>
      </x:c>
      <x:c r="F384" s="54" t="n">
        <x:v>48696</x:v>
      </x:c>
      <x:c r="G384" s="54" t="n">
        <x:v>12130</x:v>
      </x:c>
      <x:c r="H384" s="54" t="n">
        <x:v>10181</x:v>
      </x:c>
      <x:c r="I384" s="54" t="n">
        <x:v>3563</x:v>
      </x:c>
      <x:c r="J384" s="54" t="n">
        <x:v>97</x:v>
      </x:c>
      <x:c r="K384" s="53" t="n">
        <x:v>8.671598</x:v>
      </x:c>
      <x:c r="L384" s="53" t="n">
        <x:v>42.0916</x:v>
      </x:c>
      <x:c r="M384" s="53" t="n">
        <x:v>-71.2648</x:v>
      </x:c>
      <x:c r="N384" s="54" t="n">
        <x:v>300</x:v>
      </x:c>
      <x:c r="O384" s="54" t="n">
        <x:v>0</x:v>
      </x:c>
    </x:row>
    <x:row r="385">
      <x:c r="A385" s="54" t="n">
        <x:v>381</x:v>
      </x:c>
      <x:c r="B385" s="54" t="n">
        <x:v>9</x:v>
      </x:c>
      <x:c r="C385" s="54" t="n">
        <x:v>17</x:v>
      </x:c>
      <x:c r="D385" s="54" t="n">
        <x:v>0</x:v>
      </x:c>
      <x:c r="E385" s="54" t="n">
        <x:v>68324</x:v>
      </x:c>
      <x:c r="F385" s="54" t="n">
        <x:v>51288</x:v>
      </x:c>
      <x:c r="G385" s="54" t="n">
        <x:v>21920</x:v>
      </x:c>
      <x:c r="H385" s="54" t="n">
        <x:v>27155</x:v>
      </x:c>
      <x:c r="I385" s="54" t="n">
        <x:v>16293</x:v>
      </x:c>
      <x:c r="J385" s="54" t="n">
        <x:v>75</x:v>
      </x:c>
      <x:c r="K385" s="53" t="n">
        <x:v>8.474327</x:v>
      </x:c>
      <x:c r="L385" s="53" t="n">
        <x:v>39.9047</x:v>
      </x:c>
      <x:c r="M385" s="53" t="n">
        <x:v>-75.1736</x:v>
      </x:c>
      <x:c r="N385" s="54" t="n">
        <x:v>250</x:v>
      </x:c>
      <x:c r="O385" s="54" t="n">
        <x:v>0</x:v>
      </x:c>
    </x:row>
    <x:row r="386">
      <x:c r="A386" s="54" t="n">
        <x:v>382</x:v>
      </x:c>
      <x:c r="B386" s="54" t="n">
        <x:v>5</x:v>
      </x:c>
      <x:c r="C386" s="54" t="n">
        <x:v>10</x:v>
      </x:c>
      <x:c r="D386" s="54" t="n">
        <x:v>0</x:v>
      </x:c>
      <x:c r="E386" s="54" t="n">
        <x:v>69045</x:v>
      </x:c>
      <x:c r="F386" s="54" t="n">
        <x:v>62133</x:v>
      </x:c>
      <x:c r="G386" s="54" t="n">
        <x:v>3107</x:v>
      </x:c>
      <x:c r="H386" s="54" t="n">
        <x:v>4971</x:v>
      </x:c>
      <x:c r="I386" s="54" t="n">
        <x:v>2237</x:v>
      </x:c>
      <x:c r="J386" s="54" t="n">
        <x:v>108</x:v>
      </x:c>
      <x:c r="K386" s="53" t="n">
        <x:v>8.632123</x:v>
      </x:c>
      <x:c r="L386" s="53" t="n">
        <x:v>39.0491</x:v>
      </x:c>
      <x:c r="M386" s="53" t="n">
        <x:v>-94.4871</x:v>
      </x:c>
      <x:c r="N386" s="54" t="n">
        <x:v>400</x:v>
      </x:c>
      <x:c r="O386" s="54" t="n">
        <x:v>0</x:v>
      </x:c>
    </x:row>
    <x:row r="387">
      <x:c r="A387" s="54" t="n">
        <x:v>383</x:v>
      </x:c>
      <x:c r="B387" s="54" t="n">
        <x:v>11</x:v>
      </x:c>
      <x:c r="C387" s="54" t="n">
        <x:v>21</x:v>
      </x:c>
      <x:c r="D387" s="54" t="n">
        <x:v>0</x:v>
      </x:c>
      <x:c r="E387" s="54" t="n">
        <x:v>66925</x:v>
      </x:c>
      <x:c r="F387" s="54" t="n">
        <x:v>60525</x:v>
      </x:c>
      <x:c r="G387" s="54" t="n">
        <x:v>32613</x:v>
      </x:c>
      <x:c r="H387" s="54" t="n">
        <x:v>28857</x:v>
      </x:c>
      <x:c r="I387" s="54" t="n">
        <x:v>15871</x:v>
      </x:c>
      <x:c r="J387" s="54" t="n">
        <x:v>78</x:v>
      </x:c>
      <x:c r="K387" s="53" t="n">
        <x:v>8.408439</x:v>
      </x:c>
      <x:c r="L387" s="53" t="n">
        <x:v>47.5917</x:v>
      </x:c>
      <x:c r="M387" s="53" t="n">
        <x:v>-122.3272</x:v>
      </x:c>
      <x:c r="N387" s="54" t="n">
        <x:v>250</x:v>
      </x:c>
      <x:c r="O387" s="54" t="n">
        <x:v>1</x:v>
      </x:c>
    </x:row>
    <x:row r="388">
      <x:c r="A388" s="54" t="n">
        <x:v>384</x:v>
      </x:c>
      <x:c r="B388" s="54" t="n">
        <x:v>4</x:v>
      </x:c>
      <x:c r="C388" s="54" t="n">
        <x:v>7</x:v>
      </x:c>
      <x:c r="D388" s="54" t="n">
        <x:v>1</x:v>
      </x:c>
      <x:c r="E388" s="54" t="n">
        <x:v>68777</x:v>
      </x:c>
      <x:c r="F388" s="54" t="n">
        <x:v>50822</x:v>
      </x:c>
      <x:c r="G388" s="54" t="n">
        <x:v>17589</x:v>
      </x:c>
      <x:c r="H388" s="54" t="n">
        <x:v>20532</x:v>
      </x:c>
      <x:c r="I388" s="54" t="n">
        <x:v>12319</x:v>
      </x:c>
      <x:c r="J388" s="54" t="n">
        <x:v>93</x:v>
      </x:c>
      <x:c r="K388" s="53" t="n">
        <x:v>9.092387</x:v>
      </x:c>
      <x:c r="L388" s="53" t="n">
        <x:v>29.6852</x:v>
      </x:c>
      <x:c r="M388" s="53" t="n">
        <x:v>-95.407</x:v>
      </x:c>
      <x:c r="N388" s="54" t="n">
        <x:v>250</x:v>
      </x:c>
      <x:c r="O388" s="54" t="n">
        <x:v>0</x:v>
      </x:c>
    </x:row>
    <x:row r="389">
      <x:c r="A389" s="54" t="n">
        <x:v>385</x:v>
      </x:c>
      <x:c r="B389" s="54" t="n">
        <x:v>11</x:v>
      </x:c>
      <x:c r="C389" s="54" t="n">
        <x:v>21</x:v>
      </x:c>
      <x:c r="D389" s="54" t="n">
        <x:v>0</x:v>
      </x:c>
      <x:c r="E389" s="54" t="n">
        <x:v>66925</x:v>
      </x:c>
      <x:c r="F389" s="54" t="n">
        <x:v>55892</x:v>
      </x:c>
      <x:c r="G389" s="54" t="n">
        <x:v>31803</x:v>
      </x:c>
      <x:c r="H389" s="54" t="n">
        <x:v>30115</x:v>
      </x:c>
      <x:c r="I389" s="54" t="n">
        <x:v>16563</x:v>
      </x:c>
      <x:c r="J389" s="54" t="n">
        <x:v>60</x:v>
      </x:c>
      <x:c r="K389" s="53" t="n">
        <x:v>8.408439</x:v>
      </x:c>
      <x:c r="L389" s="53" t="n">
        <x:v>47.5917</x:v>
      </x:c>
      <x:c r="M389" s="53" t="n">
        <x:v>-122.3272</x:v>
      </x:c>
      <x:c r="N389" s="54" t="n">
        <x:v>250</x:v>
      </x:c>
      <x:c r="O389" s="54" t="n">
        <x:v>1</x:v>
      </x:c>
    </x:row>
    <x:row r="390">
      <x:c r="A390" s="54" t="n">
        <x:v>386</x:v>
      </x:c>
      <x:c r="B390" s="54" t="n">
        <x:v>6</x:v>
      </x:c>
      <x:c r="C390" s="54" t="n">
        <x:v>11</x:v>
      </x:c>
      <x:c r="D390" s="54" t="n">
        <x:v>0</x:v>
      </x:c>
      <x:c r="E390" s="54" t="n">
        <x:v>70492</x:v>
      </x:c>
      <x:c r="F390" s="54" t="n">
        <x:v>60275</x:v>
      </x:c>
      <x:c r="G390" s="54" t="n">
        <x:v>20950</x:v>
      </x:c>
      <x:c r="H390" s="54" t="n">
        <x:v>8094</x:v>
      </x:c>
      <x:c r="I390" s="54" t="n">
        <x:v>4047</x:v>
      </x:c>
      <x:c r="J390" s="54" t="n">
        <x:v>106</x:v>
      </x:c>
      <x:c r="K390" s="53" t="n">
        <x:v>9.603284</x:v>
      </x:c>
      <x:c r="L390" s="53" t="n">
        <x:v>33.9509</x:v>
      </x:c>
      <x:c r="M390" s="53" t="n">
        <x:v>-118.3441</x:v>
      </x:c>
      <x:c r="N390" s="54" t="n">
        <x:v>350</x:v>
      </x:c>
      <x:c r="O390" s="54" t="n">
        <x:v>0</x:v>
      </x:c>
    </x:row>
    <x:row r="391">
      <x:c r="A391" s="54" t="n">
        <x:v>387</x:v>
      </x:c>
      <x:c r="B391" s="54" t="n">
        <x:v>9</x:v>
      </x:c>
      <x:c r="C391" s="54" t="n">
        <x:v>17</x:v>
      </x:c>
      <x:c r="D391" s="54" t="n">
        <x:v>0</x:v>
      </x:c>
      <x:c r="E391" s="54" t="n">
        <x:v>68324</x:v>
      </x:c>
      <x:c r="F391" s="54" t="n">
        <x:v>61467</x:v>
      </x:c>
      <x:c r="G391" s="54" t="n">
        <x:v>29425</x:v>
      </x:c>
      <x:c r="H391" s="54" t="n">
        <x:v>31907</x:v>
      </x:c>
      <x:c r="I391" s="54" t="n">
        <x:v>19144</x:v>
      </x:c>
      <x:c r="J391" s="54" t="n">
        <x:v>89</x:v>
      </x:c>
      <x:c r="K391" s="53" t="n">
        <x:v>8.474327</x:v>
      </x:c>
      <x:c r="L391" s="53" t="n">
        <x:v>39.9047</x:v>
      </x:c>
      <x:c r="M391" s="53" t="n">
        <x:v>-75.1736</x:v>
      </x:c>
      <x:c r="N391" s="54" t="n">
        <x:v>250</x:v>
      </x:c>
      <x:c r="O391" s="54" t="n">
        <x:v>1</x:v>
      </x:c>
    </x:row>
    <x:row r="392">
      <x:c r="A392" s="54" t="n">
        <x:v>388</x:v>
      </x:c>
      <x:c r="B392" s="54" t="n">
        <x:v>6</x:v>
      </x:c>
      <x:c r="C392" s="54" t="n">
        <x:v>11</x:v>
      </x:c>
      <x:c r="D392" s="54" t="n">
        <x:v>0</x:v>
      </x:c>
      <x:c r="E392" s="54" t="n">
        <x:v>70492</x:v>
      </x:c>
      <x:c r="F392" s="54" t="n">
        <x:v>60782</x:v>
      </x:c>
      <x:c r="G392" s="54" t="n">
        <x:v>23966</x:v>
      </x:c>
      <x:c r="H392" s="54" t="n">
        <x:v>10586</x:v>
      </x:c>
      <x:c r="I392" s="54" t="n">
        <x:v>5293</x:v>
      </x:c>
      <x:c r="J392" s="54" t="n">
        <x:v>117</x:v>
      </x:c>
      <x:c r="K392" s="53" t="n">
        <x:v>9.603284</x:v>
      </x:c>
      <x:c r="L392" s="53" t="n">
        <x:v>33.9509</x:v>
      </x:c>
      <x:c r="M392" s="53" t="n">
        <x:v>-118.3441</x:v>
      </x:c>
      <x:c r="N392" s="54" t="n">
        <x:v>350</x:v>
      </x:c>
      <x:c r="O392" s="54" t="n">
        <x:v>0</x:v>
      </x:c>
    </x:row>
    <x:row r="393">
      <x:c r="A393" s="54" t="n">
        <x:v>389</x:v>
      </x:c>
      <x:c r="B393" s="54" t="n">
        <x:v>8</x:v>
      </x:c>
      <x:c r="C393" s="54" t="n">
        <x:v>15</x:v>
      </x:c>
      <x:c r="D393" s="54" t="n">
        <x:v>1</x:v>
      </x:c>
      <x:c r="E393" s="54" t="n">
        <x:v>80663</x:v>
      </x:c>
      <x:c r="F393" s="54" t="n">
        <x:v>60633</x:v>
      </x:c>
      <x:c r="G393" s="54" t="n">
        <x:v>17199</x:v>
      </x:c>
      <x:c r="H393" s="54" t="n">
        <x:v>39819</x:v>
      </x:c>
      <x:c r="I393" s="54" t="n">
        <x:v>21900</x:v>
      </x:c>
      <x:c r="J393" s="54" t="n">
        <x:v>64</x:v>
      </x:c>
      <x:c r="K393" s="53" t="n">
        <x:v>10.438681</x:v>
      </x:c>
      <x:c r="L393" s="53" t="n">
        <x:v>40.807664</x:v>
      </x:c>
      <x:c r="M393" s="53" t="n">
        <x:v>-74.069833</x:v>
      </x:c>
      <x:c r="N393" s="54" t="n">
        <x:v>250</x:v>
      </x:c>
      <x:c r="O393" s="54" t="n">
        <x:v>0</x:v>
      </x:c>
    </x:row>
    <x:row r="394">
      <x:c r="A394" s="54" t="n">
        <x:v>390</x:v>
      </x:c>
      <x:c r="B394" s="54" t="n">
        <x:v>9</x:v>
      </x:c>
      <x:c r="C394" s="54" t="n">
        <x:v>17</x:v>
      </x:c>
      <x:c r="D394" s="54" t="n">
        <x:v>0</x:v>
      </x:c>
      <x:c r="E394" s="54" t="n">
        <x:v>68324</x:v>
      </x:c>
      <x:c r="F394" s="54" t="n">
        <x:v>63782</x:v>
      </x:c>
      <x:c r="G394" s="54" t="n">
        <x:v>31600</x:v>
      </x:c>
      <x:c r="H394" s="54" t="n">
        <x:v>26588</x:v>
      </x:c>
      <x:c r="I394" s="54" t="n">
        <x:v>15953</x:v>
      </x:c>
      <x:c r="J394" s="54" t="n">
        <x:v>87</x:v>
      </x:c>
      <x:c r="K394" s="53" t="n">
        <x:v>8.474327</x:v>
      </x:c>
      <x:c r="L394" s="53" t="n">
        <x:v>39.9047</x:v>
      </x:c>
      <x:c r="M394" s="53" t="n">
        <x:v>-75.1736</x:v>
      </x:c>
      <x:c r="N394" s="54" t="n">
        <x:v>250</x:v>
      </x:c>
      <x:c r="O394" s="54" t="n">
        <x:v>1</x:v>
      </x:c>
    </x:row>
    <x:row r="395">
      <x:c r="A395" s="54" t="n">
        <x:v>391</x:v>
      </x:c>
      <x:c r="B395" s="54" t="n">
        <x:v>7</x:v>
      </x:c>
      <x:c r="C395" s="54" t="n">
        <x:v>14</x:v>
      </x:c>
      <x:c r="D395" s="54" t="n">
        <x:v>0</x:v>
      </x:c>
      <x:c r="E395" s="54" t="n">
        <x:v>64478</x:v>
      </x:c>
      <x:c r="F395" s="54" t="n">
        <x:v>52761</x:v>
      </x:c>
      <x:c r="G395" s="54" t="n">
        <x:v>11281</x:v>
      </x:c>
      <x:c r="H395" s="54" t="n">
        <x:v>4221</x:v>
      </x:c>
      <x:c r="I395" s="54" t="n">
        <x:v>1899</x:v>
      </x:c>
      <x:c r="J395" s="54" t="n">
        <x:v>126</x:v>
      </x:c>
      <x:c r="K395" s="53" t="n">
        <x:v>8.69743</x:v>
      </x:c>
      <x:c r="L395" s="53" t="n">
        <x:v>25.9549</x:v>
      </x:c>
      <x:c r="M395" s="53" t="n">
        <x:v>-80.2383</x:v>
      </x:c>
      <x:c r="N395" s="54" t="n">
        <x:v>350</x:v>
      </x:c>
      <x:c r="O395" s="54" t="n">
        <x:v>0</x:v>
      </x:c>
    </x:row>
    <x:row r="396">
      <x:c r="A396" s="54" t="n">
        <x:v>392</x:v>
      </x:c>
      <x:c r="B396" s="54" t="n">
        <x:v>6</x:v>
      </x:c>
      <x:c r="C396" s="54" t="n">
        <x:v>11</x:v>
      </x:c>
      <x:c r="D396" s="54" t="n">
        <x:v>0</x:v>
      </x:c>
      <x:c r="E396" s="54" t="n">
        <x:v>70492</x:v>
      </x:c>
      <x:c r="F396" s="54" t="n">
        <x:v>64049</x:v>
      </x:c>
      <x:c r="G396" s="54" t="n">
        <x:v>26520</x:v>
      </x:c>
      <x:c r="H396" s="54" t="n">
        <x:v>19530</x:v>
      </x:c>
      <x:c r="I396" s="54" t="n">
        <x:v>9765</x:v>
      </x:c>
      <x:c r="J396" s="54" t="n">
        <x:v>98</x:v>
      </x:c>
      <x:c r="K396" s="53" t="n">
        <x:v>9.603284</x:v>
      </x:c>
      <x:c r="L396" s="53" t="n">
        <x:v>33.9509</x:v>
      </x:c>
      <x:c r="M396" s="53" t="n">
        <x:v>-118.3441</x:v>
      </x:c>
      <x:c r="N396" s="54" t="n">
        <x:v>350</x:v>
      </x:c>
      <x:c r="O396" s="54" t="n">
        <x:v>0</x:v>
      </x:c>
    </x:row>
    <x:row r="397">
      <x:c r="A397" s="54" t="n">
        <x:v>393</x:v>
      </x:c>
      <x:c r="B397" s="54" t="n">
        <x:v>9</x:v>
      </x:c>
      <x:c r="C397" s="54" t="n">
        <x:v>17</x:v>
      </x:c>
      <x:c r="D397" s="54" t="n">
        <x:v>1</x:v>
      </x:c>
      <x:c r="E397" s="54" t="n">
        <x:v>68324</x:v>
      </x:c>
      <x:c r="F397" s="54" t="n">
        <x:v>60099</x:v>
      </x:c>
      <x:c r="G397" s="54" t="n">
        <x:v>27231</x:v>
      </x:c>
      <x:c r="H397" s="54" t="n">
        <x:v>27642</x:v>
      </x:c>
      <x:c r="I397" s="54" t="n">
        <x:v>16585</x:v>
      </x:c>
      <x:c r="J397" s="54" t="n">
        <x:v>83</x:v>
      </x:c>
      <x:c r="K397" s="53" t="n">
        <x:v>8.474327</x:v>
      </x:c>
      <x:c r="L397" s="53" t="n">
        <x:v>39.9047</x:v>
      </x:c>
      <x:c r="M397" s="53" t="n">
        <x:v>-75.1736</x:v>
      </x:c>
      <x:c r="N397" s="54" t="n">
        <x:v>250</x:v>
      </x:c>
      <x:c r="O397" s="54" t="n">
        <x:v>1</x:v>
      </x:c>
    </x:row>
    <x:row r="398">
      <x:c r="A398" s="54" t="n">
        <x:v>394</x:v>
      </x:c>
      <x:c r="B398" s="54" t="n">
        <x:v>8</x:v>
      </x:c>
      <x:c r="C398" s="54" t="n">
        <x:v>15</x:v>
      </x:c>
      <x:c r="D398" s="54" t="n">
        <x:v>0</x:v>
      </x:c>
      <x:c r="E398" s="54" t="n">
        <x:v>80663</x:v>
      </x:c>
      <x:c r="F398" s="54" t="n">
        <x:v>69361</x:v>
      </x:c>
      <x:c r="G398" s="54" t="n">
        <x:v>19349</x:v>
      </x:c>
      <x:c r="H398" s="54" t="n">
        <x:v>40805</x:v>
      </x:c>
      <x:c r="I398" s="54" t="n">
        <x:v>22443</x:v>
      </x:c>
      <x:c r="J398" s="54" t="n">
        <x:v>68</x:v>
      </x:c>
      <x:c r="K398" s="53" t="n">
        <x:v>10.438681</x:v>
      </x:c>
      <x:c r="L398" s="53" t="n">
        <x:v>40.807664</x:v>
      </x:c>
      <x:c r="M398" s="53" t="n">
        <x:v>-74.069833</x:v>
      </x:c>
      <x:c r="N398" s="54" t="n">
        <x:v>250</x:v>
      </x:c>
      <x:c r="O398" s="54" t="n">
        <x:v>0</x:v>
      </x:c>
    </x:row>
    <x:row r="399">
      <x:c r="A399" s="54" t="n">
        <x:v>395</x:v>
      </x:c>
      <x:c r="B399" s="54" t="n">
        <x:v>7</x:v>
      </x:c>
      <x:c r="C399" s="54" t="n">
        <x:v>14</x:v>
      </x:c>
      <x:c r="D399" s="54" t="n">
        <x:v>0</x:v>
      </x:c>
      <x:c r="E399" s="54" t="n">
        <x:v>64478</x:v>
      </x:c>
      <x:c r="F399" s="54" t="n">
        <x:v>53778</x:v>
      </x:c>
      <x:c r="G399" s="54" t="n">
        <x:v>10752</x:v>
      </x:c>
      <x:c r="H399" s="54" t="n">
        <x:v>5771</x:v>
      </x:c>
      <x:c r="I399" s="54" t="n">
        <x:v>2597</x:v>
      </x:c>
      <x:c r="J399" s="54" t="n">
        <x:v>119</x:v>
      </x:c>
      <x:c r="K399" s="53" t="n">
        <x:v>8.69743</x:v>
      </x:c>
      <x:c r="L399" s="53" t="n">
        <x:v>25.9549</x:v>
      </x:c>
      <x:c r="M399" s="53" t="n">
        <x:v>-80.2383</x:v>
      </x:c>
      <x:c r="N399" s="54" t="n">
        <x:v>350</x:v>
      </x:c>
      <x:c r="O399" s="54" t="n">
        <x:v>0</x:v>
      </x:c>
    </x:row>
    <x:row r="400">
      <x:c r="A400" s="54" t="n">
        <x:v>396</x:v>
      </x:c>
      <x:c r="B400" s="54" t="n">
        <x:v>5</x:v>
      </x:c>
      <x:c r="C400" s="54" t="n">
        <x:v>10</x:v>
      </x:c>
      <x:c r="D400" s="54" t="n">
        <x:v>0</x:v>
      </x:c>
      <x:c r="E400" s="54" t="n">
        <x:v>69045</x:v>
      </x:c>
      <x:c r="F400" s="54" t="n">
        <x:v>55962</x:v>
      </x:c>
      <x:c r="G400" s="54" t="n">
        <x:v>4662</x:v>
      </x:c>
      <x:c r="H400" s="54" t="n">
        <x:v>5792</x:v>
      </x:c>
      <x:c r="I400" s="54" t="n">
        <x:v>2606</x:v>
      </x:c>
      <x:c r="J400" s="54" t="n">
        <x:v>121</x:v>
      </x:c>
      <x:c r="K400" s="53" t="n">
        <x:v>8.632123</x:v>
      </x:c>
      <x:c r="L400" s="53" t="n">
        <x:v>39.0491</x:v>
      </x:c>
      <x:c r="M400" s="53" t="n">
        <x:v>-94.4871</x:v>
      </x:c>
      <x:c r="N400" s="54" t="n">
        <x:v>400</x:v>
      </x:c>
      <x:c r="O400" s="54" t="n">
        <x:v>0</x:v>
      </x:c>
    </x:row>
    <x:row r="401">
      <x:c r="A401" s="54" t="n">
        <x:v>397</x:v>
      </x:c>
      <x:c r="B401" s="54" t="n">
        <x:v>5</x:v>
      </x:c>
      <x:c r="C401" s="54" t="n">
        <x:v>10</x:v>
      </x:c>
      <x:c r="D401" s="54" t="n">
        <x:v>2</x:v>
      </x:c>
      <x:c r="E401" s="54" t="n">
        <x:v>69045</x:v>
      </x:c>
      <x:c r="F401" s="54" t="n">
        <x:v>60570</x:v>
      </x:c>
      <x:c r="G401" s="54" t="n">
        <x:v>4573</x:v>
      </x:c>
      <x:c r="H401" s="54" t="n">
        <x:v>9183</x:v>
      </x:c>
      <x:c r="I401" s="54" t="n">
        <x:v>4132</x:v>
      </x:c>
      <x:c r="J401" s="54" t="n">
        <x:v>122</x:v>
      </x:c>
      <x:c r="K401" s="53" t="n">
        <x:v>8.632123</x:v>
      </x:c>
      <x:c r="L401" s="53" t="n">
        <x:v>39.0491</x:v>
      </x:c>
      <x:c r="M401" s="53" t="n">
        <x:v>-94.4871</x:v>
      </x:c>
      <x:c r="N401" s="54" t="n">
        <x:v>400</x:v>
      </x:c>
      <x:c r="O401" s="54" t="n">
        <x:v>0</x:v>
      </x:c>
    </x:row>
    <x:row r="402">
      <x:c r="A402" s="54" t="n">
        <x:v>398</x:v>
      </x:c>
      <x:c r="B402" s="54" t="n">
        <x:v>5</x:v>
      </x:c>
      <x:c r="C402" s="54" t="n">
        <x:v>10</x:v>
      </x:c>
      <x:c r="D402" s="54" t="n">
        <x:v>0</x:v>
      </x:c>
      <x:c r="E402" s="54" t="n">
        <x:v>69045</x:v>
      </x:c>
      <x:c r="F402" s="54" t="n">
        <x:v>58820</x:v>
      </x:c>
      <x:c r="G402" s="54" t="n">
        <x:v>5847</x:v>
      </x:c>
      <x:c r="H402" s="54" t="n">
        <x:v>5347</x:v>
      </x:c>
      <x:c r="I402" s="54" t="n">
        <x:v>2406</x:v>
      </x:c>
      <x:c r="J402" s="54" t="n">
        <x:v>121</x:v>
      </x:c>
      <x:c r="K402" s="53" t="n">
        <x:v>8.632123</x:v>
      </x:c>
      <x:c r="L402" s="53" t="n">
        <x:v>39.0491</x:v>
      </x:c>
      <x:c r="M402" s="53" t="n">
        <x:v>-94.4871</x:v>
      </x:c>
      <x:c r="N402" s="54" t="n">
        <x:v>400</x:v>
      </x:c>
      <x:c r="O402" s="54" t="n">
        <x:v>0</x:v>
      </x:c>
    </x:row>
    <x:row r="403">
      <x:c r="A403" s="54" t="n">
        <x:v>399</x:v>
      </x:c>
      <x:c r="B403" s="54" t="n">
        <x:v>7</x:v>
      </x:c>
      <x:c r="C403" s="54" t="n">
        <x:v>14</x:v>
      </x:c>
      <x:c r="D403" s="54" t="n">
        <x:v>0</x:v>
      </x:c>
      <x:c r="E403" s="54" t="n">
        <x:v>64478</x:v>
      </x:c>
      <x:c r="F403" s="54" t="n">
        <x:v>62436</x:v>
      </x:c>
      <x:c r="G403" s="54" t="n">
        <x:v>14488</x:v>
      </x:c>
      <x:c r="H403" s="54" t="n">
        <x:v>10229</x:v>
      </x:c>
      <x:c r="I403" s="54" t="n">
        <x:v>4603</x:v>
      </x:c>
      <x:c r="J403" s="54" t="n">
        <x:v>129</x:v>
      </x:c>
      <x:c r="K403" s="53" t="n">
        <x:v>8.69743</x:v>
      </x:c>
      <x:c r="L403" s="53" t="n">
        <x:v>25.9549</x:v>
      </x:c>
      <x:c r="M403" s="53" t="n">
        <x:v>-80.2383</x:v>
      </x:c>
      <x:c r="N403" s="54" t="n">
        <x:v>350</x:v>
      </x:c>
      <x:c r="O403" s="54" t="n">
        <x:v>1</x:v>
      </x:c>
    </x:row>
    <x:row r="404">
      <x:c r="A404" s="54" t="n">
        <x:v>400</x:v>
      </x:c>
      <x:c r="B404" s="54" t="n">
        <x:v>5</x:v>
      </x:c>
      <x:c r="C404" s="54" t="n">
        <x:v>10</x:v>
      </x:c>
      <x:c r="D404" s="54" t="n">
        <x:v>0</x:v>
      </x:c>
      <x:c r="E404" s="54" t="n">
        <x:v>69045</x:v>
      </x:c>
      <x:c r="F404" s="54" t="n">
        <x:v>56078</x:v>
      </x:c>
      <x:c r="G404" s="54" t="n">
        <x:v>7194</x:v>
      </x:c>
      <x:c r="H404" s="54" t="n">
        <x:v>10751</x:v>
      </x:c>
      <x:c r="I404" s="54" t="n">
        <x:v>4838</x:v>
      </x:c>
      <x:c r="J404" s="54" t="n">
        <x:v>118</x:v>
      </x:c>
      <x:c r="K404" s="53" t="n">
        <x:v>8.632123</x:v>
      </x:c>
      <x:c r="L404" s="53" t="n">
        <x:v>39.0491</x:v>
      </x:c>
      <x:c r="M404" s="53" t="n">
        <x:v>-94.4871</x:v>
      </x:c>
      <x:c r="N404" s="54" t="n">
        <x:v>400</x:v>
      </x:c>
      <x:c r="O404" s="54" t="n">
        <x:v>0</x:v>
      </x:c>
    </x:row>
    <x:row r="405">
      <x:c r="A405" s="54" t="n">
        <x:v>401</x:v>
      </x:c>
      <x:c r="B405" s="54" t="n">
        <x:v>3</x:v>
      </x:c>
      <x:c r="C405" s="54" t="n">
        <x:v>5</x:v>
      </x:c>
      <x:c r="D405" s="54" t="n">
        <x:v>5</x:v>
      </x:c>
      <x:c r="E405" s="54" t="n">
        <x:v>70649</x:v>
      </x:c>
      <x:c r="F405" s="54" t="n">
        <x:v>69621</x:v>
      </x:c>
      <x:c r="G405" s="54" t="n">
        <x:v>20100</x:v>
      </x:c>
      <x:c r="H405" s="54" t="n">
        <x:v>15886</x:v>
      </x:c>
      <x:c r="I405" s="54" t="n">
        <x:v>8737</x:v>
      </x:c>
      <x:c r="J405" s="54" t="n">
        <x:v>145</x:v>
      </x:c>
      <x:c r="K405" s="53" t="n">
        <x:v>10.033037</x:v>
      </x:c>
      <x:c r="L405" s="53" t="n">
        <x:v>32.7479</x:v>
      </x:c>
      <x:c r="M405" s="53" t="n">
        <x:v>-97.0909</x:v>
      </x:c>
      <x:c r="N405" s="54" t="n">
        <x:v>300</x:v>
      </x:c>
      <x:c r="O405" s="54" t="n">
        <x:v>1</x:v>
      </x:c>
    </x:row>
    <x:row r="406">
      <x:c r="A406" s="54" t="n">
        <x:v>402</x:v>
      </x:c>
      <x:c r="B406" s="54" t="n">
        <x:v>3</x:v>
      </x:c>
      <x:c r="C406" s="54" t="n">
        <x:v>6</x:v>
      </x:c>
      <x:c r="D406" s="54" t="n">
        <x:v>1</x:v>
      </x:c>
      <x:c r="E406" s="54" t="n">
        <x:v>70649</x:v>
      </x:c>
      <x:c r="F406" s="54" t="n">
        <x:v>57603</x:v>
      </x:c>
      <x:c r="G406" s="54" t="n">
        <x:v>5134</x:v>
      </x:c>
      <x:c r="H406" s="54" t="n">
        <x:v>6745</x:v>
      </x:c>
      <x:c r="I406" s="54" t="n">
        <x:v>3035</x:v>
      </x:c>
      <x:c r="J406" s="54" t="n">
        <x:v>108</x:v>
      </x:c>
      <x:c r="K406" s="53" t="n">
        <x:v>10.033037</x:v>
      </x:c>
      <x:c r="L406" s="53" t="n">
        <x:v>32.7506</x:v>
      </x:c>
      <x:c r="M406" s="53" t="n">
        <x:v>-97.0915</x:v>
      </x:c>
      <x:c r="N406" s="54" t="n">
        <x:v>350</x:v>
      </x:c>
      <x:c r="O406" s="54" t="n">
        <x:v>0</x:v>
      </x:c>
    </x:row>
    <x:row r="407">
      <x:c r="A407" s="54" t="n">
        <x:v>403</x:v>
      </x:c>
      <x:c r="B407" s="54" t="n">
        <x:v>8</x:v>
      </x:c>
      <x:c r="C407" s="54" t="n">
        <x:v>15</x:v>
      </x:c>
      <x:c r="D407" s="54" t="n">
        <x:v>1</x:v>
      </x:c>
      <x:c r="E407" s="54" t="n">
        <x:v>80663</x:v>
      </x:c>
      <x:c r="F407" s="54" t="n">
        <x:v>75929</x:v>
      </x:c>
      <x:c r="G407" s="54" t="n">
        <x:v>27458</x:v>
      </x:c>
      <x:c r="H407" s="54" t="n">
        <x:v>48950</x:v>
      </x:c>
      <x:c r="I407" s="54" t="n">
        <x:v>26923</x:v>
      </x:c>
      <x:c r="J407" s="54" t="n">
        <x:v>73</x:v>
      </x:c>
      <x:c r="K407" s="53" t="n">
        <x:v>10.438681</x:v>
      </x:c>
      <x:c r="L407" s="53" t="n">
        <x:v>40.807664</x:v>
      </x:c>
      <x:c r="M407" s="53" t="n">
        <x:v>-74.069833</x:v>
      </x:c>
      <x:c r="N407" s="54" t="n">
        <x:v>250</x:v>
      </x:c>
      <x:c r="O407" s="54" t="n">
        <x:v>1</x:v>
      </x:c>
    </x:row>
    <x:row r="408">
      <x:c r="A408" s="54" t="n">
        <x:v>404</x:v>
      </x:c>
      <x:c r="B408" s="54" t="n">
        <x:v>4</x:v>
      </x:c>
      <x:c r="C408" s="54" t="n">
        <x:v>7</x:v>
      </x:c>
      <x:c r="D408" s="54" t="n">
        <x:v>1</x:v>
      </x:c>
      <x:c r="E408" s="54" t="n">
        <x:v>68777</x:v>
      </x:c>
      <x:c r="F408" s="54" t="n">
        <x:v>54352</x:v>
      </x:c>
      <x:c r="G408" s="54" t="n">
        <x:v>16505</x:v>
      </x:c>
      <x:c r="H408" s="54" t="n">
        <x:v>15316</x:v>
      </x:c>
      <x:c r="I408" s="54" t="n">
        <x:v>9190</x:v>
      </x:c>
      <x:c r="J408" s="54" t="n">
        <x:v>79</x:v>
      </x:c>
      <x:c r="K408" s="53" t="n">
        <x:v>9.092387</x:v>
      </x:c>
      <x:c r="L408" s="53" t="n">
        <x:v>29.6852</x:v>
      </x:c>
      <x:c r="M408" s="53" t="n">
        <x:v>-95.407</x:v>
      </x:c>
      <x:c r="N408" s="54" t="n">
        <x:v>250</x:v>
      </x:c>
      <x:c r="O408" s="54" t="n">
        <x:v>0</x:v>
      </x:c>
    </x:row>
    <x:row r="409">
      <x:c r="A409" s="54" t="n">
        <x:v>405</x:v>
      </x:c>
      <x:c r="B409" s="54" t="n">
        <x:v>2</x:v>
      </x:c>
      <x:c r="C409" s="54" t="n">
        <x:v>3</x:v>
      </x:c>
      <x:c r="D409" s="54" t="n">
        <x:v>1</x:v>
      </x:c>
      <x:c r="E409" s="54" t="n">
        <x:v>64146</x:v>
      </x:c>
      <x:c r="F409" s="54" t="n">
        <x:v>52942</x:v>
      </x:c>
      <x:c r="G409" s="54" t="n">
        <x:v>13749</x:v>
      </x:c>
      <x:c r="H409" s="54" t="n">
        <x:v>11612</x:v>
      </x:c>
      <x:c r="I409" s="54" t="n">
        <x:v>7548</x:v>
      </x:c>
      <x:c r="J409" s="54" t="n">
        <x:v>106</x:v>
      </x:c>
      <x:c r="K409" s="53" t="n">
        <x:v>8.671598</x:v>
      </x:c>
      <x:c r="L409" s="53" t="n">
        <x:v>42.0889</x:v>
      </x:c>
      <x:c r="M409" s="53" t="n">
        <x:v>-71.2597</x:v>
      </x:c>
      <x:c r="N409" s="54" t="n">
        <x:v>250</x:v>
      </x:c>
      <x:c r="O409" s="54" t="n">
        <x:v>0</x:v>
      </x:c>
    </x:row>
    <x:row r="410">
      <x:c r="A410" s="54" t="n">
        <x:v>406</x:v>
      </x:c>
      <x:c r="B410" s="54" t="n">
        <x:v>3</x:v>
      </x:c>
      <x:c r="C410" s="54" t="n">
        <x:v>6</x:v>
      </x:c>
      <x:c r="D410" s="54" t="n">
        <x:v>2</x:v>
      </x:c>
      <x:c r="E410" s="54" t="n">
        <x:v>70649</x:v>
      </x:c>
      <x:c r="F410" s="54" t="n">
        <x:v>55029</x:v>
      </x:c>
      <x:c r="G410" s="54" t="n">
        <x:v>5389</x:v>
      </x:c>
      <x:c r="H410" s="54" t="n">
        <x:v>11347</x:v>
      </x:c>
      <x:c r="I410" s="54" t="n">
        <x:v>5106</x:v>
      </x:c>
      <x:c r="J410" s="54" t="n">
        <x:v>110</x:v>
      </x:c>
      <x:c r="K410" s="53" t="n">
        <x:v>10.033037</x:v>
      </x:c>
      <x:c r="L410" s="53" t="n">
        <x:v>32.7506</x:v>
      </x:c>
      <x:c r="M410" s="53" t="n">
        <x:v>-97.0915</x:v>
      </x:c>
      <x:c r="N410" s="54" t="n">
        <x:v>350</x:v>
      </x:c>
      <x:c r="O410" s="54" t="n">
        <x:v>0</x:v>
      </x:c>
    </x:row>
    <x:row r="411">
      <x:c r="A411" s="54" t="n">
        <x:v>407</x:v>
      </x:c>
      <x:c r="B411" s="54" t="n">
        <x:v>11</x:v>
      </x:c>
      <x:c r="C411" s="54" t="n">
        <x:v>21</x:v>
      </x:c>
      <x:c r="D411" s="54" t="n">
        <x:v>0</x:v>
      </x:c>
      <x:c r="E411" s="54" t="n">
        <x:v>66925</x:v>
      </x:c>
      <x:c r="F411" s="54" t="n">
        <x:v>63235</x:v>
      </x:c>
      <x:c r="G411" s="54" t="n">
        <x:v>31999</x:v>
      </x:c>
      <x:c r="H411" s="54" t="n">
        <x:v>37409</x:v>
      </x:c>
      <x:c r="I411" s="54" t="n">
        <x:v>20575</x:v>
      </x:c>
      <x:c r="J411" s="54" t="n">
        <x:v>68</x:v>
      </x:c>
      <x:c r="K411" s="53" t="n">
        <x:v>8.408439</x:v>
      </x:c>
      <x:c r="L411" s="53" t="n">
        <x:v>47.5917</x:v>
      </x:c>
      <x:c r="M411" s="53" t="n">
        <x:v>-122.3272</x:v>
      </x:c>
      <x:c r="N411" s="54" t="n">
        <x:v>250</x:v>
      </x:c>
      <x:c r="O411" s="54" t="n">
        <x:v>1</x:v>
      </x:c>
    </x:row>
    <x:row r="412">
      <x:c r="A412" s="54" t="n">
        <x:v>408</x:v>
      </x:c>
      <x:c r="B412" s="54" t="n">
        <x:v>2</x:v>
      </x:c>
      <x:c r="C412" s="54" t="n">
        <x:v>3</x:v>
      </x:c>
      <x:c r="D412" s="54" t="n">
        <x:v>1</x:v>
      </x:c>
      <x:c r="E412" s="54" t="n">
        <x:v>64146</x:v>
      </x:c>
      <x:c r="F412" s="54" t="n">
        <x:v>54173</x:v>
      </x:c>
      <x:c r="G412" s="54" t="n">
        <x:v>14164</x:v>
      </x:c>
      <x:c r="H412" s="54" t="n">
        <x:v>9403</x:v>
      </x:c>
      <x:c r="I412" s="54" t="n">
        <x:v>6112</x:v>
      </x:c>
      <x:c r="J412" s="54" t="n">
        <x:v>103</x:v>
      </x:c>
      <x:c r="K412" s="53" t="n">
        <x:v>8.671598</x:v>
      </x:c>
      <x:c r="L412" s="53" t="n">
        <x:v>42.0889</x:v>
      </x:c>
      <x:c r="M412" s="53" t="n">
        <x:v>-71.2597</x:v>
      </x:c>
      <x:c r="N412" s="54" t="n">
        <x:v>250</x:v>
      </x:c>
      <x:c r="O412" s="54" t="n">
        <x:v>0</x:v>
      </x:c>
    </x:row>
    <x:row r="413">
      <x:c r="A413" s="54" t="n">
        <x:v>409</x:v>
      </x:c>
      <x:c r="B413" s="54" t="n">
        <x:v>8</x:v>
      </x:c>
      <x:c r="C413" s="54" t="n">
        <x:v>15</x:v>
      </x:c>
      <x:c r="D413" s="54" t="n">
        <x:v>0</x:v>
      </x:c>
      <x:c r="E413" s="54" t="n">
        <x:v>80663</x:v>
      </x:c>
      <x:c r="F413" s="54" t="n">
        <x:v>69712</x:v>
      </x:c>
      <x:c r="G413" s="54" t="n">
        <x:v>18327</x:v>
      </x:c>
      <x:c r="H413" s="54" t="n">
        <x:v>37402</x:v>
      </x:c>
      <x:c r="I413" s="54" t="n">
        <x:v>20571</x:v>
      </x:c>
      <x:c r="J413" s="54" t="n">
        <x:v>73</x:v>
      </x:c>
      <x:c r="K413" s="53" t="n">
        <x:v>10.438681</x:v>
      </x:c>
      <x:c r="L413" s="53" t="n">
        <x:v>40.807664</x:v>
      </x:c>
      <x:c r="M413" s="53" t="n">
        <x:v>-74.069833</x:v>
      </x:c>
      <x:c r="N413" s="54" t="n">
        <x:v>250</x:v>
      </x:c>
      <x:c r="O413" s="54" t="n">
        <x:v>0</x:v>
      </x:c>
    </x:row>
    <x:row r="414">
      <x:c r="A414" s="54" t="n">
        <x:v>410</x:v>
      </x:c>
      <x:c r="B414" s="54" t="n">
        <x:v>1</x:v>
      </x:c>
      <x:c r="C414" s="54" t="n">
        <x:v>1</x:v>
      </x:c>
      <x:c r="D414" s="54" t="n">
        <x:v>0</x:v>
      </x:c>
      <x:c r="E414" s="54" t="n">
        <x:v>68239</x:v>
      </x:c>
      <x:c r="F414" s="54" t="n">
        <x:v>60300</x:v>
      </x:c>
      <x:c r="G414" s="54" t="n">
        <x:v>31592</x:v>
      </x:c>
      <x:c r="H414" s="54" t="n">
        <x:v>16518</x:v>
      </x:c>
      <x:c r="I414" s="54" t="n">
        <x:v>9580</x:v>
      </x:c>
      <x:c r="J414" s="54" t="n">
        <x:v>56</x:v>
      </x:c>
      <x:c r="K414" s="53" t="n">
        <x:v>9.391018</x:v>
      </x:c>
      <x:c r="L414" s="53" t="n">
        <x:v>33.7565</x:v>
      </x:c>
      <x:c r="M414" s="53" t="n">
        <x:v>-84.4038</x:v>
      </x:c>
      <x:c r="N414" s="54" t="n">
        <x:v>250</x:v>
      </x:c>
      <x:c r="O414" s="54" t="n">
        <x:v>0</x:v>
      </x:c>
    </x:row>
    <x:row r="415">
      <x:c r="A415" s="54" t="n">
        <x:v>411</x:v>
      </x:c>
      <x:c r="B415" s="54" t="n">
        <x:v>2</x:v>
      </x:c>
      <x:c r="C415" s="54" t="n">
        <x:v>4</x:v>
      </x:c>
      <x:c r="D415" s="54" t="n">
        <x:v>0</x:v>
      </x:c>
      <x:c r="E415" s="54" t="n">
        <x:v>64146</x:v>
      </x:c>
      <x:c r="F415" s="54" t="n">
        <x:v>51137</x:v>
      </x:c>
      <x:c r="G415" s="54" t="n">
        <x:v>11979</x:v>
      </x:c>
      <x:c r="H415" s="54" t="n">
        <x:v>13300</x:v>
      </x:c>
      <x:c r="I415" s="54" t="n">
        <x:v>4655</x:v>
      </x:c>
      <x:c r="J415" s="54" t="n">
        <x:v>105</x:v>
      </x:c>
      <x:c r="K415" s="53" t="n">
        <x:v>8.671598</x:v>
      </x:c>
      <x:c r="L415" s="53" t="n">
        <x:v>42.0916</x:v>
      </x:c>
      <x:c r="M415" s="53" t="n">
        <x:v>-71.2648</x:v>
      </x:c>
      <x:c r="N415" s="54" t="n">
        <x:v>300</x:v>
      </x:c>
      <x:c r="O415" s="54" t="n">
        <x:v>0</x:v>
      </x:c>
    </x:row>
    <x:row r="416">
      <x:c r="A416" s="54" t="n">
        <x:v>412</x:v>
      </x:c>
      <x:c r="B416" s="54" t="n">
        <x:v>11</x:v>
      </x:c>
      <x:c r="C416" s="54" t="n">
        <x:v>21</x:v>
      </x:c>
      <x:c r="D416" s="54" t="n">
        <x:v>2</x:v>
      </x:c>
      <x:c r="E416" s="54" t="n">
        <x:v>66925</x:v>
      </x:c>
      <x:c r="F416" s="54" t="n">
        <x:v>62163</x:v>
      </x:c>
      <x:c r="G416" s="54" t="n">
        <x:v>32867</x:v>
      </x:c>
      <x:c r="H416" s="54" t="n">
        <x:v>31697</x:v>
      </x:c>
      <x:c r="I416" s="54" t="n">
        <x:v>17433</x:v>
      </x:c>
      <x:c r="J416" s="54" t="n">
        <x:v>75</x:v>
      </x:c>
      <x:c r="K416" s="53" t="n">
        <x:v>8.408439</x:v>
      </x:c>
      <x:c r="L416" s="53" t="n">
        <x:v>47.5917</x:v>
      </x:c>
      <x:c r="M416" s="53" t="n">
        <x:v>-122.3272</x:v>
      </x:c>
      <x:c r="N416" s="54" t="n">
        <x:v>250</x:v>
      </x:c>
      <x:c r="O416" s="54" t="n">
        <x:v>1</x:v>
      </x:c>
    </x:row>
    <x:row r="417">
      <x:c r="A417" s="54" t="n">
        <x:v>413</x:v>
      </x:c>
      <x:c r="B417" s="54" t="n">
        <x:v>2</x:v>
      </x:c>
      <x:c r="C417" s="54" t="n">
        <x:v>3</x:v>
      </x:c>
      <x:c r="D417" s="54" t="n">
        <x:v>0</x:v>
      </x:c>
      <x:c r="E417" s="54" t="n">
        <x:v>64146</x:v>
      </x:c>
      <x:c r="F417" s="54" t="n">
        <x:v>44621</x:v>
      </x:c>
      <x:c r="G417" s="54" t="n">
        <x:v>11623</x:v>
      </x:c>
      <x:c r="H417" s="54" t="n">
        <x:v>10500</x:v>
      </x:c>
      <x:c r="I417" s="54" t="n">
        <x:v>6825</x:v>
      </x:c>
      <x:c r="J417" s="54" t="n">
        <x:v>85</x:v>
      </x:c>
      <x:c r="K417" s="53" t="n">
        <x:v>8.671598</x:v>
      </x:c>
      <x:c r="L417" s="53" t="n">
        <x:v>42.0889</x:v>
      </x:c>
      <x:c r="M417" s="53" t="n">
        <x:v>-71.2597</x:v>
      </x:c>
      <x:c r="N417" s="54" t="n">
        <x:v>250</x:v>
      </x:c>
      <x:c r="O417" s="54" t="n">
        <x:v>0</x:v>
      </x:c>
    </x:row>
    <x:row r="418">
      <x:c r="A418" s="54" t="n">
        <x:v>414</x:v>
      </x:c>
      <x:c r="B418" s="54" t="n">
        <x:v>4</x:v>
      </x:c>
      <x:c r="C418" s="54" t="n">
        <x:v>7</x:v>
      </x:c>
      <x:c r="D418" s="54" t="n">
        <x:v>0</x:v>
      </x:c>
      <x:c r="E418" s="54" t="n">
        <x:v>68777</x:v>
      </x:c>
      <x:c r="F418" s="54" t="n">
        <x:v>66928</x:v>
      </x:c>
      <x:c r="G418" s="54" t="n">
        <x:v>22500</x:v>
      </x:c>
      <x:c r="H418" s="54" t="n">
        <x:v>26200</x:v>
      </x:c>
      <x:c r="I418" s="54" t="n">
        <x:v>15720</x:v>
      </x:c>
      <x:c r="J418" s="54" t="n">
        <x:v>82</x:v>
      </x:c>
      <x:c r="K418" s="53" t="n">
        <x:v>9.092387</x:v>
      </x:c>
      <x:c r="L418" s="53" t="n">
        <x:v>29.6852</x:v>
      </x:c>
      <x:c r="M418" s="53" t="n">
        <x:v>-95.407</x:v>
      </x:c>
      <x:c r="N418" s="54" t="n">
        <x:v>250</x:v>
      </x:c>
      <x:c r="O418" s="54" t="n">
        <x:v>1</x:v>
      </x:c>
    </x:row>
    <x:row r="419">
      <x:c r="A419" s="54" t="n">
        <x:v>415</x:v>
      </x:c>
      <x:c r="B419" s="54" t="n">
        <x:v>1</x:v>
      </x:c>
      <x:c r="C419" s="54" t="n">
        <x:v>1</x:v>
      </x:c>
      <x:c r="D419" s="54" t="n">
        <x:v>0</x:v>
      </x:c>
      <x:c r="E419" s="54" t="n">
        <x:v>68239</x:v>
      </x:c>
      <x:c r="F419" s="54" t="n">
        <x:v>57215</x:v>
      </x:c>
      <x:c r="G419" s="54" t="n">
        <x:v>21391</x:v>
      </x:c>
      <x:c r="H419" s="54" t="n">
        <x:v>21306</x:v>
      </x:c>
      <x:c r="I419" s="54" t="n">
        <x:v>12357</x:v>
      </x:c>
      <x:c r="J419" s="54" t="n">
        <x:v>45</x:v>
      </x:c>
      <x:c r="K419" s="53" t="n">
        <x:v>9.391018</x:v>
      </x:c>
      <x:c r="L419" s="53" t="n">
        <x:v>33.7565</x:v>
      </x:c>
      <x:c r="M419" s="53" t="n">
        <x:v>-84.4038</x:v>
      </x:c>
      <x:c r="N419" s="54" t="n">
        <x:v>250</x:v>
      </x:c>
      <x:c r="O419" s="54" t="n">
        <x:v>0</x:v>
      </x:c>
    </x:row>
    <x:row r="420">
      <x:c r="A420" s="54" t="n">
        <x:v>416</x:v>
      </x:c>
      <x:c r="B420" s="54" t="n">
        <x:v>9</x:v>
      </x:c>
      <x:c r="C420" s="54" t="n">
        <x:v>17</x:v>
      </x:c>
      <x:c r="D420" s="54" t="n">
        <x:v>0</x:v>
      </x:c>
      <x:c r="E420" s="54" t="n">
        <x:v>68324</x:v>
      </x:c>
      <x:c r="F420" s="54" t="n">
        <x:v>60774</x:v>
      </x:c>
      <x:c r="G420" s="54" t="n">
        <x:v>27992</x:v>
      </x:c>
      <x:c r="H420" s="54" t="n">
        <x:v>24423</x:v>
      </x:c>
      <x:c r="I420" s="54" t="n">
        <x:v>14654</x:v>
      </x:c>
      <x:c r="J420" s="54" t="n">
        <x:v>78</x:v>
      </x:c>
      <x:c r="K420" s="53" t="n">
        <x:v>8.474327</x:v>
      </x:c>
      <x:c r="L420" s="53" t="n">
        <x:v>39.9047</x:v>
      </x:c>
      <x:c r="M420" s="53" t="n">
        <x:v>-75.1736</x:v>
      </x:c>
      <x:c r="N420" s="54" t="n">
        <x:v>250</x:v>
      </x:c>
      <x:c r="O420" s="54" t="n">
        <x:v>1</x:v>
      </x:c>
    </x:row>
    <x:row r="421">
      <x:c r="A421" s="54" t="n">
        <x:v>417</x:v>
      </x:c>
      <x:c r="B421" s="54" t="n">
        <x:v>6</x:v>
      </x:c>
      <x:c r="C421" s="54" t="n">
        <x:v>11</x:v>
      </x:c>
      <x:c r="D421" s="54" t="n">
        <x:v>3</x:v>
      </x:c>
      <x:c r="E421" s="54" t="n">
        <x:v>70492</x:v>
      </x:c>
      <x:c r="F421" s="54" t="n">
        <x:v>70351</x:v>
      </x:c>
      <x:c r="G421" s="54" t="n">
        <x:v>31342</x:v>
      </x:c>
      <x:c r="H421" s="54" t="n">
        <x:v>21451</x:v>
      </x:c>
      <x:c r="I421" s="54" t="n">
        <x:v>10726</x:v>
      </x:c>
      <x:c r="J421" s="54" t="n">
        <x:v>123</x:v>
      </x:c>
      <x:c r="K421" s="53" t="n">
        <x:v>9.603284</x:v>
      </x:c>
      <x:c r="L421" s="53" t="n">
        <x:v>33.9509</x:v>
      </x:c>
      <x:c r="M421" s="53" t="n">
        <x:v>-118.3441</x:v>
      </x:c>
      <x:c r="N421" s="54" t="n">
        <x:v>350</x:v>
      </x:c>
      <x:c r="O421" s="54" t="n">
        <x:v>1</x:v>
      </x:c>
    </x:row>
    <x:row r="422">
      <x:c r="A422" s="54" t="n">
        <x:v>418</x:v>
      </x:c>
      <x:c r="B422" s="54" t="n">
        <x:v>8</x:v>
      </x:c>
      <x:c r="C422" s="54" t="n">
        <x:v>15</x:v>
      </x:c>
      <x:c r="D422" s="54" t="n">
        <x:v>0</x:v>
      </x:c>
      <x:c r="E422" s="54" t="n">
        <x:v>80663</x:v>
      </x:c>
      <x:c r="F422" s="54" t="n">
        <x:v>69391</x:v>
      </x:c>
      <x:c r="G422" s="54" t="n">
        <x:v>26899</x:v>
      </x:c>
      <x:c r="H422" s="54" t="n">
        <x:v>37503</x:v>
      </x:c>
      <x:c r="I422" s="54" t="n">
        <x:v>20627</x:v>
      </x:c>
      <x:c r="J422" s="54" t="n">
        <x:v>69</x:v>
      </x:c>
      <x:c r="K422" s="53" t="n">
        <x:v>10.438681</x:v>
      </x:c>
      <x:c r="L422" s="53" t="n">
        <x:v>40.807664</x:v>
      </x:c>
      <x:c r="M422" s="53" t="n">
        <x:v>-74.069833</x:v>
      </x:c>
      <x:c r="N422" s="54" t="n">
        <x:v>250</x:v>
      </x:c>
      <x:c r="O422" s="54" t="n">
        <x:v>0</x:v>
      </x:c>
    </x:row>
    <x:row r="423">
      <x:c r="A423" s="54" t="n">
        <x:v>419</x:v>
      </x:c>
      <x:c r="B423" s="54" t="n">
        <x:v>3</x:v>
      </x:c>
      <x:c r="C423" s="54" t="n">
        <x:v>6</x:v>
      </x:c>
      <x:c r="D423" s="54" t="n">
        <x:v>0</x:v>
      </x:c>
      <x:c r="E423" s="54" t="n">
        <x:v>70649</x:v>
      </x:c>
      <x:c r="F423" s="54" t="n">
        <x:v>64437</x:v>
      </x:c>
      <x:c r="G423" s="54" t="n">
        <x:v>9144</x:v>
      </x:c>
      <x:c r="H423" s="54" t="n">
        <x:v>8413</x:v>
      </x:c>
      <x:c r="I423" s="54" t="n">
        <x:v>3786</x:v>
      </x:c>
      <x:c r="J423" s="54" t="n">
        <x:v>104</x:v>
      </x:c>
      <x:c r="K423" s="53" t="n">
        <x:v>10.033037</x:v>
      </x:c>
      <x:c r="L423" s="53" t="n">
        <x:v>32.7506</x:v>
      </x:c>
      <x:c r="M423" s="53" t="n">
        <x:v>-97.0915</x:v>
      </x:c>
      <x:c r="N423" s="54" t="n">
        <x:v>350</x:v>
      </x:c>
      <x:c r="O423" s="54" t="n">
        <x:v>0</x:v>
      </x:c>
    </x:row>
    <x:row r="424">
      <x:c r="A424" s="54" t="n">
        <x:v>420</x:v>
      </x:c>
      <x:c r="B424" s="54" t="n">
        <x:v>3</x:v>
      </x:c>
      <x:c r="C424" s="54" t="n">
        <x:v>6</x:v>
      </x:c>
      <x:c r="D424" s="54" t="n">
        <x:v>3</x:v>
      </x:c>
      <x:c r="E424" s="54" t="n">
        <x:v>70649</x:v>
      </x:c>
      <x:c r="F424" s="54" t="n">
        <x:v>53254</x:v>
      </x:c>
      <x:c r="G424" s="54" t="n">
        <x:v>4269</x:v>
      </x:c>
      <x:c r="H424" s="54" t="n">
        <x:v>4260</x:v>
      </x:c>
      <x:c r="I424" s="54" t="n">
        <x:v>1917</x:v>
      </x:c>
      <x:c r="J424" s="54" t="n">
        <x:v>107</x:v>
      </x:c>
      <x:c r="K424" s="53" t="n">
        <x:v>10.033037</x:v>
      </x:c>
      <x:c r="L424" s="53" t="n">
        <x:v>32.7506</x:v>
      </x:c>
      <x:c r="M424" s="53" t="n">
        <x:v>-97.0915</x:v>
      </x:c>
      <x:c r="N424" s="54" t="n">
        <x:v>350</x:v>
      </x:c>
      <x:c r="O424" s="54" t="n">
        <x:v>0</x:v>
      </x:c>
    </x:row>
    <x:row r="425">
      <x:c r="A425" s="54" t="n">
        <x:v>421</x:v>
      </x:c>
      <x:c r="B425" s="54" t="n">
        <x:v>11</x:v>
      </x:c>
      <x:c r="C425" s="54" t="n">
        <x:v>21</x:v>
      </x:c>
      <x:c r="D425" s="54" t="n">
        <x:v>1</x:v>
      </x:c>
      <x:c r="E425" s="54" t="n">
        <x:v>66925</x:v>
      </x:c>
      <x:c r="F425" s="54" t="n">
        <x:v>55129</x:v>
      </x:c>
      <x:c r="G425" s="54" t="n">
        <x:v>32616</x:v>
      </x:c>
      <x:c r="H425" s="54" t="n">
        <x:v>26683</x:v>
      </x:c>
      <x:c r="I425" s="54" t="n">
        <x:v>14676</x:v>
      </x:c>
      <x:c r="J425" s="54" t="n">
        <x:v>62</x:v>
      </x:c>
      <x:c r="K425" s="53" t="n">
        <x:v>8.408439</x:v>
      </x:c>
      <x:c r="L425" s="53" t="n">
        <x:v>47.5917</x:v>
      </x:c>
      <x:c r="M425" s="53" t="n">
        <x:v>-122.3272</x:v>
      </x:c>
      <x:c r="N425" s="54" t="n">
        <x:v>250</x:v>
      </x:c>
      <x:c r="O425" s="54" t="n">
        <x:v>1</x:v>
      </x:c>
    </x:row>
    <x:row r="426">
      <x:c r="A426" s="54" t="n">
        <x:v>422</x:v>
      </x:c>
      <x:c r="B426" s="54" t="n">
        <x:v>6</x:v>
      </x:c>
      <x:c r="C426" s="54" t="n">
        <x:v>11</x:v>
      </x:c>
      <x:c r="D426" s="54" t="n">
        <x:v>0</x:v>
      </x:c>
      <x:c r="E426" s="54" t="n">
        <x:v>70492</x:v>
      </x:c>
      <x:c r="F426" s="54" t="n">
        <x:v>62852</x:v>
      </x:c>
      <x:c r="G426" s="54" t="n">
        <x:v>23960</x:v>
      </x:c>
      <x:c r="H426" s="54" t="n">
        <x:v>16562</x:v>
      </x:c>
      <x:c r="I426" s="54" t="n">
        <x:v>8281</x:v>
      </x:c>
      <x:c r="J426" s="54" t="n">
        <x:v>112</x:v>
      </x:c>
      <x:c r="K426" s="53" t="n">
        <x:v>9.603284</x:v>
      </x:c>
      <x:c r="L426" s="53" t="n">
        <x:v>33.9509</x:v>
      </x:c>
      <x:c r="M426" s="53" t="n">
        <x:v>-118.3441</x:v>
      </x:c>
      <x:c r="N426" s="54" t="n">
        <x:v>350</x:v>
      </x:c>
      <x:c r="O426" s="54" t="n">
        <x:v>1</x:v>
      </x:c>
    </x:row>
    <x:row r="427">
      <x:c r="A427" s="54" t="n">
        <x:v>423</x:v>
      </x:c>
      <x:c r="B427" s="54" t="n">
        <x:v>3</x:v>
      </x:c>
      <x:c r="C427" s="54" t="n">
        <x:v>6</x:v>
      </x:c>
      <x:c r="D427" s="54" t="n">
        <x:v>1</x:v>
      </x:c>
      <x:c r="E427" s="54" t="n">
        <x:v>70649</x:v>
      </x:c>
      <x:c r="F427" s="54" t="n">
        <x:v>65750</x:v>
      </x:c>
      <x:c r="G427" s="54" t="n">
        <x:v>3288</x:v>
      </x:c>
      <x:c r="H427" s="54" t="n">
        <x:v>13868</x:v>
      </x:c>
      <x:c r="I427" s="54" t="n">
        <x:v>6241</x:v>
      </x:c>
      <x:c r="J427" s="54" t="n">
        <x:v>110</x:v>
      </x:c>
      <x:c r="K427" s="53" t="n">
        <x:v>10.033037</x:v>
      </x:c>
      <x:c r="L427" s="53" t="n">
        <x:v>32.7506</x:v>
      </x:c>
      <x:c r="M427" s="53" t="n">
        <x:v>-97.0915</x:v>
      </x:c>
      <x:c r="N427" s="54" t="n">
        <x:v>350</x:v>
      </x:c>
      <x:c r="O427" s="54" t="n">
        <x:v>0</x:v>
      </x:c>
    </x:row>
    <x:row r="428">
      <x:c r="A428" s="54" t="n">
        <x:v>424</x:v>
      </x:c>
      <x:c r="B428" s="54" t="n">
        <x:v>3</x:v>
      </x:c>
      <x:c r="C428" s="54" t="n">
        <x:v>6</x:v>
      </x:c>
      <x:c r="D428" s="54" t="n">
        <x:v>0</x:v>
      </x:c>
      <x:c r="E428" s="54" t="n">
        <x:v>70649</x:v>
      </x:c>
      <x:c r="F428" s="54" t="n">
        <x:v>47215</x:v>
      </x:c>
      <x:c r="G428" s="54" t="n">
        <x:v>5902</x:v>
      </x:c>
      <x:c r="H428" s="54" t="n">
        <x:v>5865</x:v>
      </x:c>
      <x:c r="I428" s="54" t="n">
        <x:v>2639</x:v>
      </x:c>
      <x:c r="J428" s="54" t="n">
        <x:v>85</x:v>
      </x:c>
      <x:c r="K428" s="53" t="n">
        <x:v>10.033037</x:v>
      </x:c>
      <x:c r="L428" s="53" t="n">
        <x:v>32.7506</x:v>
      </x:c>
      <x:c r="M428" s="53" t="n">
        <x:v>-97.0915</x:v>
      </x:c>
      <x:c r="N428" s="54" t="n">
        <x:v>350</x:v>
      </x:c>
      <x:c r="O428" s="54" t="n">
        <x:v>0</x:v>
      </x:c>
    </x:row>
    <x:row r="429">
      <x:c r="A429" s="54" t="n">
        <x:v>425</x:v>
      </x:c>
      <x:c r="B429" s="54" t="n">
        <x:v>9</x:v>
      </x:c>
      <x:c r="C429" s="54" t="n">
        <x:v>17</x:v>
      </x:c>
      <x:c r="D429" s="54" t="n">
        <x:v>0</x:v>
      </x:c>
      <x:c r="E429" s="54" t="n">
        <x:v>68324</x:v>
      </x:c>
      <x:c r="F429" s="54" t="n">
        <x:v>47966</x:v>
      </x:c>
      <x:c r="G429" s="54" t="n">
        <x:v>19737</x:v>
      </x:c>
      <x:c r="H429" s="54" t="n">
        <x:v>15596</x:v>
      </x:c>
      <x:c r="I429" s="54" t="n">
        <x:v>9358</x:v>
      </x:c>
      <x:c r="J429" s="54" t="n">
        <x:v>76</x:v>
      </x:c>
      <x:c r="K429" s="53" t="n">
        <x:v>8.474327</x:v>
      </x:c>
      <x:c r="L429" s="53" t="n">
        <x:v>39.9047</x:v>
      </x:c>
      <x:c r="M429" s="53" t="n">
        <x:v>-75.1736</x:v>
      </x:c>
      <x:c r="N429" s="54" t="n">
        <x:v>250</x:v>
      </x:c>
      <x:c r="O429" s="54" t="n">
        <x:v>0</x:v>
      </x:c>
    </x:row>
    <x:row r="430">
      <x:c r="A430" s="54" t="n">
        <x:v>426</x:v>
      </x:c>
      <x:c r="B430" s="54" t="n">
        <x:v>6</x:v>
      </x:c>
      <x:c r="C430" s="54" t="n">
        <x:v>11</x:v>
      </x:c>
      <x:c r="D430" s="54" t="n">
        <x:v>3</x:v>
      </x:c>
      <x:c r="E430" s="54" t="n">
        <x:v>70492</x:v>
      </x:c>
      <x:c r="F430" s="54" t="n">
        <x:v>70351</x:v>
      </x:c>
      <x:c r="G430" s="54" t="n">
        <x:v>30928</x:v>
      </x:c>
      <x:c r="H430" s="54" t="n">
        <x:v>19504</x:v>
      </x:c>
      <x:c r="I430" s="54" t="n">
        <x:v>9752</x:v>
      </x:c>
      <x:c r="J430" s="54" t="n">
        <x:v>109</x:v>
      </x:c>
      <x:c r="K430" s="53" t="n">
        <x:v>9.603284</x:v>
      </x:c>
      <x:c r="L430" s="53" t="n">
        <x:v>33.9509</x:v>
      </x:c>
      <x:c r="M430" s="53" t="n">
        <x:v>-118.3441</x:v>
      </x:c>
      <x:c r="N430" s="54" t="n">
        <x:v>350</x:v>
      </x:c>
      <x:c r="O430" s="54" t="n">
        <x:v>1</x:v>
      </x:c>
    </x:row>
    <x:row r="431">
      <x:c r="A431" s="54" t="n">
        <x:v>427</x:v>
      </x:c>
      <x:c r="B431" s="54" t="n">
        <x:v>8</x:v>
      </x:c>
      <x:c r="C431" s="54" t="n">
        <x:v>15</x:v>
      </x:c>
      <x:c r="D431" s="54" t="n">
        <x:v>0</x:v>
      </x:c>
      <x:c r="E431" s="54" t="n">
        <x:v>80663</x:v>
      </x:c>
      <x:c r="F431" s="54" t="n">
        <x:v>73950</x:v>
      </x:c>
      <x:c r="G431" s="54" t="n">
        <x:v>24205</x:v>
      </x:c>
      <x:c r="H431" s="54" t="n">
        <x:v>46843</x:v>
      </x:c>
      <x:c r="I431" s="54" t="n">
        <x:v>25764</x:v>
      </x:c>
      <x:c r="J431" s="54" t="n">
        <x:v>61</x:v>
      </x:c>
      <x:c r="K431" s="53" t="n">
        <x:v>10.438681</x:v>
      </x:c>
      <x:c r="L431" s="53" t="n">
        <x:v>40.807664</x:v>
      </x:c>
      <x:c r="M431" s="53" t="n">
        <x:v>-74.069833</x:v>
      </x:c>
      <x:c r="N431" s="54" t="n">
        <x:v>250</x:v>
      </x:c>
      <x:c r="O431" s="54" t="n">
        <x:v>0</x:v>
      </x:c>
    </x:row>
    <x:row r="432">
      <x:c r="A432" s="54" t="n">
        <x:v>428</x:v>
      </x:c>
      <x:c r="B432" s="54" t="n">
        <x:v>4</x:v>
      </x:c>
      <x:c r="C432" s="54" t="n">
        <x:v>8</x:v>
      </x:c>
      <x:c r="D432" s="54" t="n">
        <x:v>0</x:v>
      </x:c>
      <x:c r="E432" s="54" t="n">
        <x:v>68777</x:v>
      </x:c>
      <x:c r="F432" s="54" t="n">
        <x:v>56373</x:v>
      </x:c>
      <x:c r="G432" s="54" t="n">
        <x:v>10924</x:v>
      </x:c>
      <x:c r="H432" s="54" t="n">
        <x:v>28166</x:v>
      </x:c>
      <x:c r="I432" s="54" t="n">
        <x:v>11266</x:v>
      </x:c>
      <x:c r="J432" s="54" t="n">
        <x:v>83</x:v>
      </x:c>
      <x:c r="K432" s="53" t="n">
        <x:v>9.092387</x:v>
      </x:c>
      <x:c r="L432" s="53" t="n">
        <x:v>29.6846</x:v>
      </x:c>
      <x:c r="M432" s="53" t="n">
        <x:v>-95.4141</x:v>
      </x:c>
      <x:c r="N432" s="54" t="n">
        <x:v>300</x:v>
      </x:c>
      <x:c r="O432" s="54" t="n">
        <x:v>0</x:v>
      </x:c>
    </x:row>
    <x:row r="433">
      <x:c r="A433" s="54" t="n">
        <x:v>429</x:v>
      </x:c>
      <x:c r="B433" s="54" t="n">
        <x:v>8</x:v>
      </x:c>
      <x:c r="C433" s="54" t="n">
        <x:v>15</x:v>
      </x:c>
      <x:c r="D433" s="54" t="n">
        <x:v>0</x:v>
      </x:c>
      <x:c r="E433" s="54" t="n">
        <x:v>80663</x:v>
      </x:c>
      <x:c r="F433" s="54" t="n">
        <x:v>69724</x:v>
      </x:c>
      <x:c r="G433" s="54" t="n">
        <x:v>19746</x:v>
      </x:c>
      <x:c r="H433" s="54" t="n">
        <x:v>39182</x:v>
      </x:c>
      <x:c r="I433" s="54" t="n">
        <x:v>21550</x:v>
      </x:c>
      <x:c r="J433" s="54" t="n">
        <x:v>73</x:v>
      </x:c>
      <x:c r="K433" s="53" t="n">
        <x:v>10.438681</x:v>
      </x:c>
      <x:c r="L433" s="53" t="n">
        <x:v>40.807664</x:v>
      </x:c>
      <x:c r="M433" s="53" t="n">
        <x:v>-74.069833</x:v>
      </x:c>
      <x:c r="N433" s="54" t="n">
        <x:v>250</x:v>
      </x:c>
      <x:c r="O433" s="54" t="n">
        <x:v>0</x:v>
      </x:c>
    </x:row>
    <x:row r="434">
      <x:c r="A434" s="54" t="n">
        <x:v>430</x:v>
      </x:c>
      <x:c r="B434" s="54" t="n">
        <x:v>6</x:v>
      </x:c>
      <x:c r="C434" s="54" t="n">
        <x:v>11</x:v>
      </x:c>
      <x:c r="D434" s="54" t="n">
        <x:v>0</x:v>
      </x:c>
      <x:c r="E434" s="54" t="n">
        <x:v>70492</x:v>
      </x:c>
      <x:c r="F434" s="54" t="n">
        <x:v>60124</x:v>
      </x:c>
      <x:c r="G434" s="54" t="n">
        <x:v>26306</x:v>
      </x:c>
      <x:c r="H434" s="54" t="n">
        <x:v>8208</x:v>
      </x:c>
      <x:c r="I434" s="54" t="n">
        <x:v>4104</x:v>
      </x:c>
      <x:c r="J434" s="54" t="n">
        <x:v>100</x:v>
      </x:c>
      <x:c r="K434" s="53" t="n">
        <x:v>9.603284</x:v>
      </x:c>
      <x:c r="L434" s="53" t="n">
        <x:v>33.9509</x:v>
      </x:c>
      <x:c r="M434" s="53" t="n">
        <x:v>-118.3441</x:v>
      </x:c>
      <x:c r="N434" s="54" t="n">
        <x:v>350</x:v>
      </x:c>
      <x:c r="O434" s="54" t="n">
        <x:v>0</x:v>
      </x:c>
    </x:row>
    <x:row r="435">
      <x:c r="A435" s="54" t="n">
        <x:v>431</x:v>
      </x:c>
      <x:c r="B435" s="54" t="n">
        <x:v>1</x:v>
      </x:c>
      <x:c r="C435" s="54" t="n">
        <x:v>1</x:v>
      </x:c>
      <x:c r="D435" s="54" t="n">
        <x:v>4</x:v>
      </x:c>
      <x:c r="E435" s="54" t="n">
        <x:v>68239</x:v>
      </x:c>
      <x:c r="F435" s="54" t="n">
        <x:v>61914</x:v>
      </x:c>
      <x:c r="G435" s="54" t="n">
        <x:v>28526</x:v>
      </x:c>
      <x:c r="H435" s="54" t="n">
        <x:v>23775</x:v>
      </x:c>
      <x:c r="I435" s="54" t="n">
        <x:v>13789</x:v>
      </x:c>
      <x:c r="J435" s="54" t="n">
        <x:v>85</x:v>
      </x:c>
      <x:c r="K435" s="53" t="n">
        <x:v>9.391018</x:v>
      </x:c>
      <x:c r="L435" s="53" t="n">
        <x:v>33.7565</x:v>
      </x:c>
      <x:c r="M435" s="53" t="n">
        <x:v>-84.4038</x:v>
      </x:c>
      <x:c r="N435" s="54" t="n">
        <x:v>250</x:v>
      </x:c>
      <x:c r="O435" s="54" t="n">
        <x:v>1</x:v>
      </x:c>
    </x:row>
    <x:row r="436">
      <x:c r="A436" s="54" t="n">
        <x:v>432</x:v>
      </x:c>
      <x:c r="B436" s="54" t="n">
        <x:v>4</x:v>
      </x:c>
      <x:c r="C436" s="54" t="n">
        <x:v>7</x:v>
      </x:c>
      <x:c r="D436" s="54" t="n">
        <x:v>4</x:v>
      </x:c>
      <x:c r="E436" s="54" t="n">
        <x:v>68777</x:v>
      </x:c>
      <x:c r="F436" s="54" t="n">
        <x:v>62924</x:v>
      </x:c>
      <x:c r="G436" s="54" t="n">
        <x:v>19761</x:v>
      </x:c>
      <x:c r="H436" s="54" t="n">
        <x:v>22319</x:v>
      </x:c>
      <x:c r="I436" s="54" t="n">
        <x:v>13391</x:v>
      </x:c>
      <x:c r="J436" s="54" t="n">
        <x:v>97</x:v>
      </x:c>
      <x:c r="K436" s="53" t="n">
        <x:v>9.092387</x:v>
      </x:c>
      <x:c r="L436" s="53" t="n">
        <x:v>29.6852</x:v>
      </x:c>
      <x:c r="M436" s="53" t="n">
        <x:v>-95.407</x:v>
      </x:c>
      <x:c r="N436" s="54" t="n">
        <x:v>250</x:v>
      </x:c>
      <x:c r="O436" s="54" t="n">
        <x:v>1</x:v>
      </x:c>
    </x:row>
    <x:row r="437">
      <x:c r="A437" s="54" t="n">
        <x:v>433</x:v>
      </x:c>
      <x:c r="B437" s="54" t="n">
        <x:v>6</x:v>
      </x:c>
      <x:c r="C437" s="54" t="n">
        <x:v>11</x:v>
      </x:c>
      <x:c r="D437" s="54" t="n">
        <x:v>1</x:v>
      </x:c>
      <x:c r="E437" s="54" t="n">
        <x:v>70492</x:v>
      </x:c>
      <x:c r="F437" s="54" t="n">
        <x:v>64539</x:v>
      </x:c>
      <x:c r="G437" s="54" t="n">
        <x:v>27321</x:v>
      </x:c>
      <x:c r="H437" s="54" t="n">
        <x:v>15340</x:v>
      </x:c>
      <x:c r="I437" s="54" t="n">
        <x:v>7670</x:v>
      </x:c>
      <x:c r="J437" s="54" t="n">
        <x:v>112</x:v>
      </x:c>
      <x:c r="K437" s="53" t="n">
        <x:v>9.603284</x:v>
      </x:c>
      <x:c r="L437" s="53" t="n">
        <x:v>33.9509</x:v>
      </x:c>
      <x:c r="M437" s="53" t="n">
        <x:v>-118.3441</x:v>
      </x:c>
      <x:c r="N437" s="54" t="n">
        <x:v>350</x:v>
      </x:c>
      <x:c r="O437" s="54" t="n">
        <x:v>1</x:v>
      </x:c>
    </x:row>
    <x:row r="438">
      <x:c r="A438" s="54" t="n">
        <x:v>434</x:v>
      </x:c>
      <x:c r="B438" s="54" t="n">
        <x:v>11</x:v>
      </x:c>
      <x:c r="C438" s="54" t="n">
        <x:v>21</x:v>
      </x:c>
      <x:c r="D438" s="54" t="n">
        <x:v>0</x:v>
      </x:c>
      <x:c r="E438" s="54" t="n">
        <x:v>66925</x:v>
      </x:c>
      <x:c r="F438" s="54" t="n">
        <x:v>56217</x:v>
      </x:c>
      <x:c r="G438" s="54" t="n">
        <x:v>24637</x:v>
      </x:c>
      <x:c r="H438" s="54" t="n">
        <x:v>29353</x:v>
      </x:c>
      <x:c r="I438" s="54" t="n">
        <x:v>16144</x:v>
      </x:c>
      <x:c r="J438" s="54" t="n">
        <x:v>55</x:v>
      </x:c>
      <x:c r="K438" s="53" t="n">
        <x:v>8.408439</x:v>
      </x:c>
      <x:c r="L438" s="53" t="n">
        <x:v>47.5917</x:v>
      </x:c>
      <x:c r="M438" s="53" t="n">
        <x:v>-122.3272</x:v>
      </x:c>
      <x:c r="N438" s="54" t="n">
        <x:v>250</x:v>
      </x:c>
      <x:c r="O438" s="54" t="n">
        <x:v>0</x:v>
      </x:c>
    </x:row>
    <x:row r="439">
      <x:c r="A439" s="54" t="n">
        <x:v>435</x:v>
      </x:c>
      <x:c r="B439" s="54" t="n">
        <x:v>2</x:v>
      </x:c>
      <x:c r="C439" s="54" t="n">
        <x:v>3</x:v>
      </x:c>
      <x:c r="D439" s="54" t="n">
        <x:v>0</x:v>
      </x:c>
      <x:c r="E439" s="54" t="n">
        <x:v>64146</x:v>
      </x:c>
      <x:c r="F439" s="54" t="n">
        <x:v>55484</x:v>
      </x:c>
      <x:c r="G439" s="54" t="n">
        <x:v>15381</x:v>
      </x:c>
      <x:c r="H439" s="54" t="n">
        <x:v>16237</x:v>
      </x:c>
      <x:c r="I439" s="54" t="n">
        <x:v>10554</x:v>
      </x:c>
      <x:c r="J439" s="54" t="n">
        <x:v>88</x:v>
      </x:c>
      <x:c r="K439" s="53" t="n">
        <x:v>8.671598</x:v>
      </x:c>
      <x:c r="L439" s="53" t="n">
        <x:v>42.0889</x:v>
      </x:c>
      <x:c r="M439" s="53" t="n">
        <x:v>-71.2597</x:v>
      </x:c>
      <x:c r="N439" s="54" t="n">
        <x:v>250</x:v>
      </x:c>
      <x:c r="O439" s="54" t="n">
        <x:v>0</x:v>
      </x:c>
    </x:row>
    <x:row r="440">
      <x:c r="A440" s="54" t="n">
        <x:v>436</x:v>
      </x:c>
      <x:c r="B440" s="54" t="n">
        <x:v>10</x:v>
      </x:c>
      <x:c r="C440" s="54" t="n">
        <x:v>19</x:v>
      </x:c>
      <x:c r="D440" s="54" t="n">
        <x:v>1</x:v>
      </x:c>
      <x:c r="E440" s="54" t="n">
        <x:v>68827</x:v>
      </x:c>
      <x:c r="F440" s="54" t="n">
        <x:v>60129</x:v>
      </x:c>
      <x:c r="G440" s="54" t="n">
        <x:v>33542</x:v>
      </x:c>
      <x:c r="H440" s="54" t="n">
        <x:v>31676</x:v>
      </x:c>
      <x:c r="I440" s="54" t="n">
        <x:v>20589</x:v>
      </x:c>
      <x:c r="J440" s="54" t="n">
        <x:v>76</x:v>
      </x:c>
      <x:c r="K440" s="53" t="n">
        <x:v>8.807888</x:v>
      </x:c>
      <x:c r="L440" s="53" t="n">
        <x:v>37.403468</x:v>
      </x:c>
      <x:c r="M440" s="53" t="n">
        <x:v>-121.974908</x:v>
      </x:c>
      <x:c r="N440" s="54" t="n">
        <x:v>250</x:v>
      </x:c>
      <x:c r="O440" s="54" t="n">
        <x:v>1</x:v>
      </x:c>
    </x:row>
    <x:row r="441">
      <x:c r="A441" s="54" t="n">
        <x:v>437</x:v>
      </x:c>
      <x:c r="B441" s="54" t="n">
        <x:v>4</x:v>
      </x:c>
      <x:c r="C441" s="54" t="n">
        <x:v>7</x:v>
      </x:c>
      <x:c r="D441" s="54" t="n">
        <x:v>0</x:v>
      </x:c>
      <x:c r="E441" s="54" t="n">
        <x:v>68777</x:v>
      </x:c>
      <x:c r="F441" s="54" t="n">
        <x:v>53390</x:v>
      </x:c>
      <x:c r="G441" s="54" t="n">
        <x:v>17823</x:v>
      </x:c>
      <x:c r="H441" s="54" t="n">
        <x:v>9673</x:v>
      </x:c>
      <x:c r="I441" s="54" t="n">
        <x:v>5804</x:v>
      </x:c>
      <x:c r="J441" s="54" t="n">
        <x:v>72</x:v>
      </x:c>
      <x:c r="K441" s="53" t="n">
        <x:v>9.092387</x:v>
      </x:c>
      <x:c r="L441" s="53" t="n">
        <x:v>29.6852</x:v>
      </x:c>
      <x:c r="M441" s="53" t="n">
        <x:v>-95.407</x:v>
      </x:c>
      <x:c r="N441" s="54" t="n">
        <x:v>250</x:v>
      </x:c>
      <x:c r="O441" s="54" t="n">
        <x:v>0</x:v>
      </x:c>
    </x:row>
    <x:row r="442">
      <x:c r="A442" s="54" t="n">
        <x:v>438</x:v>
      </x:c>
      <x:c r="B442" s="54" t="n">
        <x:v>2</x:v>
      </x:c>
      <x:c r="C442" s="54" t="n">
        <x:v>3</x:v>
      </x:c>
      <x:c r="D442" s="54" t="n">
        <x:v>0</x:v>
      </x:c>
      <x:c r="E442" s="54" t="n">
        <x:v>64146</x:v>
      </x:c>
      <x:c r="F442" s="54" t="n">
        <x:v>53068</x:v>
      </x:c>
      <x:c r="G442" s="54" t="n">
        <x:v>15482</x:v>
      </x:c>
      <x:c r="H442" s="54" t="n">
        <x:v>13078</x:v>
      </x:c>
      <x:c r="I442" s="54" t="n">
        <x:v>8501</x:v>
      </x:c>
      <x:c r="J442" s="54" t="n">
        <x:v>88</x:v>
      </x:c>
      <x:c r="K442" s="53" t="n">
        <x:v>8.671598</x:v>
      </x:c>
      <x:c r="L442" s="53" t="n">
        <x:v>42.0889</x:v>
      </x:c>
      <x:c r="M442" s="53" t="n">
        <x:v>-71.2597</x:v>
      </x:c>
      <x:c r="N442" s="54" t="n">
        <x:v>250</x:v>
      </x:c>
      <x:c r="O442" s="54" t="n">
        <x:v>0</x:v>
      </x:c>
    </x:row>
    <x:row r="443">
      <x:c r="A443" s="54" t="n">
        <x:v>439</x:v>
      </x:c>
      <x:c r="B443" s="54" t="n">
        <x:v>10</x:v>
      </x:c>
      <x:c r="C443" s="54" t="n">
        <x:v>19</x:v>
      </x:c>
      <x:c r="D443" s="54" t="n">
        <x:v>1</x:v>
      </x:c>
      <x:c r="E443" s="54" t="n">
        <x:v>68827</x:v>
      </x:c>
      <x:c r="F443" s="54" t="n">
        <x:v>59880</x:v>
      </x:c>
      <x:c r="G443" s="54" t="n">
        <x:v>34475</x:v>
      </x:c>
      <x:c r="H443" s="54" t="n">
        <x:v>24411</x:v>
      </x:c>
      <x:c r="I443" s="54" t="n">
        <x:v>15867</x:v>
      </x:c>
      <x:c r="J443" s="54" t="n">
        <x:v>87</x:v>
      </x:c>
      <x:c r="K443" s="53" t="n">
        <x:v>8.807888</x:v>
      </x:c>
      <x:c r="L443" s="53" t="n">
        <x:v>37.403468</x:v>
      </x:c>
      <x:c r="M443" s="53" t="n">
        <x:v>-121.974908</x:v>
      </x:c>
      <x:c r="N443" s="54" t="n">
        <x:v>250</x:v>
      </x:c>
      <x:c r="O443" s="54" t="n">
        <x:v>1</x:v>
      </x:c>
    </x:row>
    <x:row r="444">
      <x:c r="A444" s="54" t="n">
        <x:v>440</x:v>
      </x:c>
      <x:c r="B444" s="54" t="n">
        <x:v>6</x:v>
      </x:c>
      <x:c r="C444" s="54" t="n">
        <x:v>11</x:v>
      </x:c>
      <x:c r="D444" s="54" t="n">
        <x:v>2</x:v>
      </x:c>
      <x:c r="E444" s="54" t="n">
        <x:v>70492</x:v>
      </x:c>
      <x:c r="F444" s="54" t="n">
        <x:v>69541</x:v>
      </x:c>
      <x:c r="G444" s="54" t="n">
        <x:v>23586</x:v>
      </x:c>
      <x:c r="H444" s="54" t="n">
        <x:v>18957</x:v>
      </x:c>
      <x:c r="I444" s="54" t="n">
        <x:v>9479</x:v>
      </x:c>
      <x:c r="J444" s="54" t="n">
        <x:v>111</x:v>
      </x:c>
      <x:c r="K444" s="53" t="n">
        <x:v>9.603284</x:v>
      </x:c>
      <x:c r="L444" s="53" t="n">
        <x:v>33.9509</x:v>
      </x:c>
      <x:c r="M444" s="53" t="n">
        <x:v>-118.3441</x:v>
      </x:c>
      <x:c r="N444" s="54" t="n">
        <x:v>350</x:v>
      </x:c>
      <x:c r="O444" s="54" t="n">
        <x:v>1</x:v>
      </x:c>
    </x:row>
    <x:row r="445">
      <x:c r="A445" s="54" t="n">
        <x:v>441</x:v>
      </x:c>
      <x:c r="B445" s="54" t="n">
        <x:v>4</x:v>
      </x:c>
      <x:c r="C445" s="54" t="n">
        <x:v>7</x:v>
      </x:c>
      <x:c r="D445" s="54" t="n">
        <x:v>0</x:v>
      </x:c>
      <x:c r="E445" s="54" t="n">
        <x:v>68777</x:v>
      </x:c>
      <x:c r="F445" s="54" t="n">
        <x:v>55520</x:v>
      </x:c>
      <x:c r="G445" s="54" t="n">
        <x:v>20490</x:v>
      </x:c>
      <x:c r="H445" s="54" t="n">
        <x:v>15721</x:v>
      </x:c>
      <x:c r="I445" s="54" t="n">
        <x:v>9433</x:v>
      </x:c>
      <x:c r="J445" s="54" t="n">
        <x:v>84</x:v>
      </x:c>
      <x:c r="K445" s="53" t="n">
        <x:v>9.092387</x:v>
      </x:c>
      <x:c r="L445" s="53" t="n">
        <x:v>29.6852</x:v>
      </x:c>
      <x:c r="M445" s="53" t="n">
        <x:v>-95.407</x:v>
      </x:c>
      <x:c r="N445" s="54" t="n">
        <x:v>250</x:v>
      </x:c>
      <x:c r="O445" s="54" t="n">
        <x:v>0</x:v>
      </x:c>
    </x:row>
    <x:row r="446">
      <x:c r="A446" s="54" t="n">
        <x:v>442</x:v>
      </x:c>
      <x:c r="B446" s="54" t="n">
        <x:v>9</x:v>
      </x:c>
      <x:c r="C446" s="54" t="n">
        <x:v>17</x:v>
      </x:c>
      <x:c r="D446" s="54" t="n">
        <x:v>0</x:v>
      </x:c>
      <x:c r="E446" s="54" t="n">
        <x:v>68324</x:v>
      </x:c>
      <x:c r="F446" s="54" t="n">
        <x:v>56376</x:v>
      </x:c>
      <x:c r="G446" s="54" t="n">
        <x:v>25665</x:v>
      </x:c>
      <x:c r="H446" s="54" t="n">
        <x:v>27556</x:v>
      </x:c>
      <x:c r="I446" s="54" t="n">
        <x:v>16534</x:v>
      </x:c>
      <x:c r="J446" s="54" t="n">
        <x:v>76</x:v>
      </x:c>
      <x:c r="K446" s="53" t="n">
        <x:v>8.474327</x:v>
      </x:c>
      <x:c r="L446" s="53" t="n">
        <x:v>39.9047</x:v>
      </x:c>
      <x:c r="M446" s="53" t="n">
        <x:v>-75.1736</x:v>
      </x:c>
      <x:c r="N446" s="54" t="n">
        <x:v>250</x:v>
      </x:c>
      <x:c r="O446" s="54" t="n">
        <x:v>0</x:v>
      </x:c>
    </x:row>
    <x:row r="447">
      <x:c r="A447" s="54" t="n">
        <x:v>443</x:v>
      </x:c>
      <x:c r="B447" s="54" t="n">
        <x:v>10</x:v>
      </x:c>
      <x:c r="C447" s="54" t="n">
        <x:v>19</x:v>
      </x:c>
      <x:c r="D447" s="54" t="n">
        <x:v>3</x:v>
      </x:c>
      <x:c r="E447" s="54" t="n">
        <x:v>68827</x:v>
      </x:c>
      <x:c r="F447" s="54" t="n">
        <x:v>63317</x:v>
      </x:c>
      <x:c r="G447" s="54" t="n">
        <x:v>40607</x:v>
      </x:c>
      <x:c r="H447" s="54" t="n">
        <x:v>22441</x:v>
      </x:c>
      <x:c r="I447" s="54" t="n">
        <x:v>14587</x:v>
      </x:c>
      <x:c r="J447" s="54" t="n">
        <x:v>104</x:v>
      </x:c>
      <x:c r="K447" s="53" t="n">
        <x:v>8.807888</x:v>
      </x:c>
      <x:c r="L447" s="53" t="n">
        <x:v>37.403468</x:v>
      </x:c>
      <x:c r="M447" s="53" t="n">
        <x:v>-121.974908</x:v>
      </x:c>
      <x:c r="N447" s="54" t="n">
        <x:v>250</x:v>
      </x:c>
      <x:c r="O447" s="54" t="n">
        <x:v>1</x:v>
      </x:c>
    </x:row>
    <x:row r="448">
      <x:c r="A448" s="54" t="n">
        <x:v>444</x:v>
      </x:c>
      <x:c r="B448" s="54" t="n">
        <x:v>6</x:v>
      </x:c>
      <x:c r="C448" s="54" t="n">
        <x:v>11</x:v>
      </x:c>
      <x:c r="D448" s="54" t="n">
        <x:v>3</x:v>
      </x:c>
      <x:c r="E448" s="54" t="n">
        <x:v>70492</x:v>
      </x:c>
      <x:c r="F448" s="54" t="n">
        <x:v>67870</x:v>
      </x:c>
      <x:c r="G448" s="54" t="n">
        <x:v>31460</x:v>
      </x:c>
      <x:c r="H448" s="54" t="n">
        <x:v>18650</x:v>
      </x:c>
      <x:c r="I448" s="54" t="n">
        <x:v>9325</x:v>
      </x:c>
      <x:c r="J448" s="54" t="n">
        <x:v>109</x:v>
      </x:c>
      <x:c r="K448" s="53" t="n">
        <x:v>9.603284</x:v>
      </x:c>
      <x:c r="L448" s="53" t="n">
        <x:v>33.9509</x:v>
      </x:c>
      <x:c r="M448" s="53" t="n">
        <x:v>-118.3441</x:v>
      </x:c>
      <x:c r="N448" s="54" t="n">
        <x:v>350</x:v>
      </x:c>
      <x:c r="O448" s="54" t="n">
        <x:v>1</x:v>
      </x:c>
    </x:row>
    <x:row r="449">
      <x:c r="A449" s="54" t="n">
        <x:v>445</x:v>
      </x:c>
      <x:c r="B449" s="54" t="n">
        <x:v>7</x:v>
      </x:c>
      <x:c r="C449" s="54" t="n">
        <x:v>14</x:v>
      </x:c>
      <x:c r="D449" s="54" t="n">
        <x:v>0</x:v>
      </x:c>
      <x:c r="E449" s="54" t="n">
        <x:v>64478</x:v>
      </x:c>
      <x:c r="F449" s="54" t="n">
        <x:v>60597</x:v>
      </x:c>
      <x:c r="G449" s="54" t="n">
        <x:v>10516</x:v>
      </x:c>
      <x:c r="H449" s="54" t="n">
        <x:v>9469</x:v>
      </x:c>
      <x:c r="I449" s="54" t="n">
        <x:v>4261</x:v>
      </x:c>
      <x:c r="J449" s="54" t="n">
        <x:v>118</x:v>
      </x:c>
      <x:c r="K449" s="53" t="n">
        <x:v>8.69743</x:v>
      </x:c>
      <x:c r="L449" s="53" t="n">
        <x:v>25.9549</x:v>
      </x:c>
      <x:c r="M449" s="53" t="n">
        <x:v>-80.2383</x:v>
      </x:c>
      <x:c r="N449" s="54" t="n">
        <x:v>350</x:v>
      </x:c>
      <x:c r="O449" s="54" t="n">
        <x:v>0</x:v>
      </x:c>
    </x:row>
    <x:row r="450">
      <x:c r="A450" s="54" t="n">
        <x:v>446</x:v>
      </x:c>
      <x:c r="B450" s="54" t="n">
        <x:v>4</x:v>
      </x:c>
      <x:c r="C450" s="54" t="n">
        <x:v>7</x:v>
      </x:c>
      <x:c r="D450" s="54" t="n">
        <x:v>0</x:v>
      </x:c>
      <x:c r="E450" s="54" t="n">
        <x:v>68777</x:v>
      </x:c>
      <x:c r="F450" s="54" t="n">
        <x:v>58023</x:v>
      </x:c>
      <x:c r="G450" s="54" t="n">
        <x:v>19823</x:v>
      </x:c>
      <x:c r="H450" s="54" t="n">
        <x:v>16412</x:v>
      </x:c>
      <x:c r="I450" s="54" t="n">
        <x:v>9847</x:v>
      </x:c>
      <x:c r="J450" s="54" t="n">
        <x:v>62</x:v>
      </x:c>
      <x:c r="K450" s="53" t="n">
        <x:v>9.092387</x:v>
      </x:c>
      <x:c r="L450" s="53" t="n">
        <x:v>29.6852</x:v>
      </x:c>
      <x:c r="M450" s="53" t="n">
        <x:v>-95.407</x:v>
      </x:c>
      <x:c r="N450" s="54" t="n">
        <x:v>250</x:v>
      </x:c>
      <x:c r="O450" s="54" t="n">
        <x:v>0</x:v>
      </x:c>
    </x:row>
    <x:row r="451">
      <x:c r="A451" s="54" t="n">
        <x:v>447</x:v>
      </x:c>
      <x:c r="B451" s="54" t="n">
        <x:v>7</x:v>
      </x:c>
      <x:c r="C451" s="54" t="n">
        <x:v>14</x:v>
      </x:c>
      <x:c r="D451" s="54" t="n">
        <x:v>0</x:v>
      </x:c>
      <x:c r="E451" s="54" t="n">
        <x:v>64478</x:v>
      </x:c>
      <x:c r="F451" s="54" t="n">
        <x:v>56821</x:v>
      </x:c>
      <x:c r="G451" s="54" t="n">
        <x:v>6702</x:v>
      </x:c>
      <x:c r="H451" s="54" t="n">
        <x:v>16235</x:v>
      </x:c>
      <x:c r="I451" s="54" t="n">
        <x:v>7306</x:v>
      </x:c>
      <x:c r="J451" s="54" t="n">
        <x:v>119</x:v>
      </x:c>
      <x:c r="K451" s="53" t="n">
        <x:v>8.69743</x:v>
      </x:c>
      <x:c r="L451" s="53" t="n">
        <x:v>25.9549</x:v>
      </x:c>
      <x:c r="M451" s="53" t="n">
        <x:v>-80.2383</x:v>
      </x:c>
      <x:c r="N451" s="54" t="n">
        <x:v>350</x:v>
      </x:c>
      <x:c r="O451" s="54" t="n">
        <x:v>0</x:v>
      </x:c>
    </x:row>
    <x:row r="452">
      <x:c r="A452" s="54" t="n">
        <x:v>448</x:v>
      </x:c>
      <x:c r="B452" s="54" t="n">
        <x:v>1</x:v>
      </x:c>
      <x:c r="C452" s="54" t="n">
        <x:v>1</x:v>
      </x:c>
      <x:c r="D452" s="54" t="n">
        <x:v>0</x:v>
      </x:c>
      <x:c r="E452" s="54" t="n">
        <x:v>68239</x:v>
      </x:c>
      <x:c r="F452" s="54" t="n">
        <x:v>64060</x:v>
      </x:c>
      <x:c r="G452" s="54" t="n">
        <x:v>26875</x:v>
      </x:c>
      <x:c r="H452" s="54" t="n">
        <x:v>21441</x:v>
      </x:c>
      <x:c r="I452" s="54" t="n">
        <x:v>12436</x:v>
      </x:c>
      <x:c r="J452" s="54" t="n">
        <x:v>53</x:v>
      </x:c>
      <x:c r="K452" s="53" t="n">
        <x:v>9.391018</x:v>
      </x:c>
      <x:c r="L452" s="53" t="n">
        <x:v>33.7565</x:v>
      </x:c>
      <x:c r="M452" s="53" t="n">
        <x:v>-84.4038</x:v>
      </x:c>
      <x:c r="N452" s="54" t="n">
        <x:v>250</x:v>
      </x:c>
      <x:c r="O452" s="54" t="n">
        <x:v>0</x:v>
      </x:c>
    </x:row>
    <x:row r="453">
      <x:c r="A453" s="54" t="n">
        <x:v>449</x:v>
      </x:c>
      <x:c r="B453" s="54" t="n">
        <x:v>8</x:v>
      </x:c>
      <x:c r="C453" s="54" t="n">
        <x:v>15</x:v>
      </x:c>
      <x:c r="D453" s="54" t="n">
        <x:v>2</x:v>
      </x:c>
      <x:c r="E453" s="54" t="n">
        <x:v>80663</x:v>
      </x:c>
      <x:c r="F453" s="54" t="n">
        <x:v>75184</x:v>
      </x:c>
      <x:c r="G453" s="54" t="n">
        <x:v>22549</x:v>
      </x:c>
      <x:c r="H453" s="54" t="n">
        <x:v>46953</x:v>
      </x:c>
      <x:c r="I453" s="54" t="n">
        <x:v>25824</x:v>
      </x:c>
      <x:c r="J453" s="54" t="n">
        <x:v>67</x:v>
      </x:c>
      <x:c r="K453" s="53" t="n">
        <x:v>10.438681</x:v>
      </x:c>
      <x:c r="L453" s="53" t="n">
        <x:v>40.807664</x:v>
      </x:c>
      <x:c r="M453" s="53" t="n">
        <x:v>-74.069833</x:v>
      </x:c>
      <x:c r="N453" s="54" t="n">
        <x:v>250</x:v>
      </x:c>
      <x:c r="O453" s="54" t="n">
        <x:v>1</x:v>
      </x:c>
    </x:row>
    <x:row r="454">
      <x:c r="A454" s="54" t="n">
        <x:v>450</x:v>
      </x:c>
      <x:c r="B454" s="54" t="n">
        <x:v>7</x:v>
      </x:c>
      <x:c r="C454" s="54" t="n">
        <x:v>13</x:v>
      </x:c>
      <x:c r="D454" s="54" t="n">
        <x:v>0</x:v>
      </x:c>
      <x:c r="E454" s="54" t="n">
        <x:v>64478</x:v>
      </x:c>
      <x:c r="F454" s="54" t="n">
        <x:v>58807</x:v>
      </x:c>
      <x:c r="G454" s="54" t="n">
        <x:v>18328</x:v>
      </x:c>
      <x:c r="H454" s="54" t="n">
        <x:v>15913</x:v>
      </x:c>
      <x:c r="I454" s="54" t="n">
        <x:v>8752</x:v>
      </x:c>
      <x:c r="J454" s="54" t="n">
        <x:v>126</x:v>
      </x:c>
      <x:c r="K454" s="53" t="n">
        <x:v>8.69743</x:v>
      </x:c>
      <x:c r="L454" s="53" t="n">
        <x:v>25.957</x:v>
      </x:c>
      <x:c r="M454" s="53" t="n">
        <x:v>-80.2425</x:v>
      </x:c>
      <x:c r="N454" s="54" t="n">
        <x:v>400</x:v>
      </x:c>
      <x:c r="O454" s="54" t="n">
        <x:v>1</x:v>
      </x:c>
    </x:row>
    <x:row r="455">
      <x:c r="A455" s="54" t="n">
        <x:v>451</x:v>
      </x:c>
      <x:c r="B455" s="54" t="n">
        <x:v>5</x:v>
      </x:c>
      <x:c r="C455" s="54" t="n">
        <x:v>10</x:v>
      </x:c>
      <x:c r="D455" s="54" t="n">
        <x:v>0</x:v>
      </x:c>
      <x:c r="E455" s="54" t="n">
        <x:v>69045</x:v>
      </x:c>
      <x:c r="F455" s="54" t="n">
        <x:v>60890</x:v>
      </x:c>
      <x:c r="G455" s="54" t="n">
        <x:v>9699</x:v>
      </x:c>
      <x:c r="H455" s="54" t="n">
        <x:v>5375</x:v>
      </x:c>
      <x:c r="I455" s="54" t="n">
        <x:v>2419</x:v>
      </x:c>
      <x:c r="J455" s="54" t="n">
        <x:v>111</x:v>
      </x:c>
      <x:c r="K455" s="53" t="n">
        <x:v>8.632123</x:v>
      </x:c>
      <x:c r="L455" s="53" t="n">
        <x:v>39.0491</x:v>
      </x:c>
      <x:c r="M455" s="53" t="n">
        <x:v>-94.4871</x:v>
      </x:c>
      <x:c r="N455" s="54" t="n">
        <x:v>400</x:v>
      </x:c>
      <x:c r="O455" s="54" t="n">
        <x:v>0</x:v>
      </x:c>
    </x:row>
    <x:row r="456">
      <x:c r="A456" s="54" t="n">
        <x:v>452</x:v>
      </x:c>
      <x:c r="B456" s="54" t="n">
        <x:v>11</x:v>
      </x:c>
      <x:c r="C456" s="54" t="n">
        <x:v>21</x:v>
      </x:c>
      <x:c r="D456" s="54" t="n">
        <x:v>0</x:v>
      </x:c>
      <x:c r="E456" s="54" t="n">
        <x:v>66925</x:v>
      </x:c>
      <x:c r="F456" s="54" t="n">
        <x:v>61115</x:v>
      </x:c>
      <x:c r="G456" s="54" t="n">
        <x:v>31112</x:v>
      </x:c>
      <x:c r="H456" s="54" t="n">
        <x:v>34281</x:v>
      </x:c>
      <x:c r="I456" s="54" t="n">
        <x:v>18855</x:v>
      </x:c>
      <x:c r="J456" s="54" t="n">
        <x:v>62</x:v>
      </x:c>
      <x:c r="K456" s="53" t="n">
        <x:v>8.408439</x:v>
      </x:c>
      <x:c r="L456" s="53" t="n">
        <x:v>47.5917</x:v>
      </x:c>
      <x:c r="M456" s="53" t="n">
        <x:v>-122.3272</x:v>
      </x:c>
      <x:c r="N456" s="54" t="n">
        <x:v>250</x:v>
      </x:c>
      <x:c r="O456" s="54" t="n">
        <x:v>1</x:v>
      </x:c>
    </x:row>
    <x:row r="457">
      <x:c r="A457" s="54" t="n">
        <x:v>453</x:v>
      </x:c>
      <x:c r="B457" s="54" t="n">
        <x:v>1</x:v>
      </x:c>
      <x:c r="C457" s="54" t="n">
        <x:v>1</x:v>
      </x:c>
      <x:c r="D457" s="54" t="n">
        <x:v>0</x:v>
      </x:c>
      <x:c r="E457" s="54" t="n">
        <x:v>68239</x:v>
      </x:c>
      <x:c r="F457" s="54" t="n">
        <x:v>62120</x:v>
      </x:c>
      <x:c r="G457" s="54" t="n">
        <x:v>22396</x:v>
      </x:c>
      <x:c r="H457" s="54" t="n">
        <x:v>23076</x:v>
      </x:c>
      <x:c r="I457" s="54" t="n">
        <x:v>13384</x:v>
      </x:c>
      <x:c r="J457" s="54" t="n">
        <x:v>75</x:v>
      </x:c>
      <x:c r="K457" s="53" t="n">
        <x:v>9.391018</x:v>
      </x:c>
      <x:c r="L457" s="53" t="n">
        <x:v>33.7565</x:v>
      </x:c>
      <x:c r="M457" s="53" t="n">
        <x:v>-84.4038</x:v>
      </x:c>
      <x:c r="N457" s="54" t="n">
        <x:v>250</x:v>
      </x:c>
      <x:c r="O457" s="54" t="n">
        <x:v>0</x:v>
      </x:c>
    </x:row>
    <x:row r="458">
      <x:c r="A458" s="54" t="n">
        <x:v>454</x:v>
      </x:c>
      <x:c r="B458" s="54" t="n">
        <x:v>10</x:v>
      </x:c>
      <x:c r="C458" s="54" t="n">
        <x:v>19</x:v>
      </x:c>
      <x:c r="D458" s="54" t="n">
        <x:v>0</x:v>
      </x:c>
      <x:c r="E458" s="54" t="n">
        <x:v>68827</x:v>
      </x:c>
      <x:c r="F458" s="54" t="n">
        <x:v>60201</x:v>
      </x:c>
      <x:c r="G458" s="54" t="n">
        <x:v>28119</x:v>
      </x:c>
      <x:c r="H458" s="54" t="n">
        <x:v>17084</x:v>
      </x:c>
      <x:c r="I458" s="54" t="n">
        <x:v>11105</x:v>
      </x:c>
      <x:c r="J458" s="54" t="n">
        <x:v>79</x:v>
      </x:c>
      <x:c r="K458" s="53" t="n">
        <x:v>8.807888</x:v>
      </x:c>
      <x:c r="L458" s="53" t="n">
        <x:v>37.403468</x:v>
      </x:c>
      <x:c r="M458" s="53" t="n">
        <x:v>-121.974908</x:v>
      </x:c>
      <x:c r="N458" s="54" t="n">
        <x:v>250</x:v>
      </x:c>
      <x:c r="O458" s="54" t="n">
        <x:v>0</x:v>
      </x:c>
    </x:row>
    <x:row r="459">
      <x:c r="A459" s="54" t="n">
        <x:v>455</x:v>
      </x:c>
      <x:c r="B459" s="54" t="n">
        <x:v>4</x:v>
      </x:c>
      <x:c r="C459" s="54" t="n">
        <x:v>8</x:v>
      </x:c>
      <x:c r="D459" s="54" t="n">
        <x:v>1</x:v>
      </x:c>
      <x:c r="E459" s="54" t="n">
        <x:v>68777</x:v>
      </x:c>
      <x:c r="F459" s="54" t="n">
        <x:v>59865</x:v>
      </x:c>
      <x:c r="G459" s="54" t="n">
        <x:v>14610</x:v>
      </x:c>
      <x:c r="H459" s="54" t="n">
        <x:v>20538</x:v>
      </x:c>
      <x:c r="I459" s="54" t="n">
        <x:v>8215</x:v>
      </x:c>
      <x:c r="J459" s="54" t="n">
        <x:v>82</x:v>
      </x:c>
      <x:c r="K459" s="53" t="n">
        <x:v>9.092387</x:v>
      </x:c>
      <x:c r="L459" s="53" t="n">
        <x:v>29.6846</x:v>
      </x:c>
      <x:c r="M459" s="53" t="n">
        <x:v>-95.4141</x:v>
      </x:c>
      <x:c r="N459" s="54" t="n">
        <x:v>300</x:v>
      </x:c>
      <x:c r="O459" s="54" t="n">
        <x:v>0</x:v>
      </x:c>
    </x:row>
    <x:row r="460">
      <x:c r="A460" s="54" t="n">
        <x:v>456</x:v>
      </x:c>
      <x:c r="B460" s="54" t="n">
        <x:v>8</x:v>
      </x:c>
      <x:c r="C460" s="54" t="n">
        <x:v>15</x:v>
      </x:c>
      <x:c r="D460" s="54" t="n">
        <x:v>0</x:v>
      </x:c>
      <x:c r="E460" s="54" t="n">
        <x:v>80663</x:v>
      </x:c>
      <x:c r="F460" s="54" t="n">
        <x:v>69362</x:v>
      </x:c>
      <x:c r="G460" s="54" t="n">
        <x:v>23126</x:v>
      </x:c>
      <x:c r="H460" s="54" t="n">
        <x:v>44365</x:v>
      </x:c>
      <x:c r="I460" s="54" t="n">
        <x:v>24401</x:v>
      </x:c>
      <x:c r="J460" s="54" t="n">
        <x:v>67</x:v>
      </x:c>
      <x:c r="K460" s="53" t="n">
        <x:v>10.438681</x:v>
      </x:c>
      <x:c r="L460" s="53" t="n">
        <x:v>40.807664</x:v>
      </x:c>
      <x:c r="M460" s="53" t="n">
        <x:v>-74.069833</x:v>
      </x:c>
      <x:c r="N460" s="54" t="n">
        <x:v>250</x:v>
      </x:c>
      <x:c r="O460" s="54" t="n">
        <x:v>0</x:v>
      </x:c>
    </x:row>
    <x:row r="461">
      <x:c r="A461" s="54" t="n">
        <x:v>457</x:v>
      </x:c>
      <x:c r="B461" s="54" t="n">
        <x:v>1</x:v>
      </x:c>
      <x:c r="C461" s="54" t="n">
        <x:v>1</x:v>
      </x:c>
      <x:c r="D461" s="54" t="n">
        <x:v>0</x:v>
      </x:c>
      <x:c r="E461" s="54" t="n">
        <x:v>68239</x:v>
      </x:c>
      <x:c r="F461" s="54" t="n">
        <x:v>67267</x:v>
      </x:c>
      <x:c r="G461" s="54" t="n">
        <x:v>35467</x:v>
      </x:c>
      <x:c r="H461" s="54" t="n">
        <x:v>20616</x:v>
      </x:c>
      <x:c r="I461" s="54" t="n">
        <x:v>11957</x:v>
      </x:c>
      <x:c r="J461" s="54" t="n">
        <x:v>79</x:v>
      </x:c>
      <x:c r="K461" s="53" t="n">
        <x:v>9.391018</x:v>
      </x:c>
      <x:c r="L461" s="53" t="n">
        <x:v>33.7565</x:v>
      </x:c>
      <x:c r="M461" s="53" t="n">
        <x:v>-84.4038</x:v>
      </x:c>
      <x:c r="N461" s="54" t="n">
        <x:v>250</x:v>
      </x:c>
      <x:c r="O461" s="54" t="n">
        <x:v>1</x:v>
      </x:c>
    </x:row>
    <x:row r="462">
      <x:c r="A462" s="54" t="n">
        <x:v>458</x:v>
      </x:c>
      <x:c r="B462" s="54" t="n">
        <x:v>8</x:v>
      </x:c>
      <x:c r="C462" s="54" t="n">
        <x:v>15</x:v>
      </x:c>
      <x:c r="D462" s="54" t="n">
        <x:v>0</x:v>
      </x:c>
      <x:c r="E462" s="54" t="n">
        <x:v>80663</x:v>
      </x:c>
      <x:c r="F462" s="54" t="n">
        <x:v>70436</x:v>
      </x:c>
      <x:c r="G462" s="54" t="n">
        <x:v>19497</x:v>
      </x:c>
      <x:c r="H462" s="54" t="n">
        <x:v>38890</x:v>
      </x:c>
      <x:c r="I462" s="54" t="n">
        <x:v>21390</x:v>
      </x:c>
      <x:c r="J462" s="54" t="n">
        <x:v>71</x:v>
      </x:c>
      <x:c r="K462" s="53" t="n">
        <x:v>10.438681</x:v>
      </x:c>
      <x:c r="L462" s="53" t="n">
        <x:v>40.807664</x:v>
      </x:c>
      <x:c r="M462" s="53" t="n">
        <x:v>-74.069833</x:v>
      </x:c>
      <x:c r="N462" s="54" t="n">
        <x:v>250</x:v>
      </x:c>
      <x:c r="O462" s="54" t="n">
        <x:v>0</x:v>
      </x:c>
    </x:row>
    <x:row r="463">
      <x:c r="A463" s="54" t="n">
        <x:v>459</x:v>
      </x:c>
      <x:c r="B463" s="54" t="n">
        <x:v>10</x:v>
      </x:c>
      <x:c r="C463" s="54" t="n">
        <x:v>19</x:v>
      </x:c>
      <x:c r="D463" s="54" t="n">
        <x:v>0</x:v>
      </x:c>
      <x:c r="E463" s="54" t="n">
        <x:v>68827</x:v>
      </x:c>
      <x:c r="F463" s="54" t="n">
        <x:v>56135</x:v>
      </x:c>
      <x:c r="G463" s="54" t="n">
        <x:v>26781</x:v>
      </x:c>
      <x:c r="H463" s="54" t="n">
        <x:v>22083</x:v>
      </x:c>
      <x:c r="I463" s="54" t="n">
        <x:v>14354</x:v>
      </x:c>
      <x:c r="J463" s="54" t="n">
        <x:v>92</x:v>
      </x:c>
      <x:c r="K463" s="53" t="n">
        <x:v>8.807888</x:v>
      </x:c>
      <x:c r="L463" s="53" t="n">
        <x:v>37.403468</x:v>
      </x:c>
      <x:c r="M463" s="53" t="n">
        <x:v>-121.974908</x:v>
      </x:c>
      <x:c r="N463" s="54" t="n">
        <x:v>250</x:v>
      </x:c>
      <x:c r="O463" s="54" t="n">
        <x:v>1</x:v>
      </x:c>
    </x:row>
    <x:row r="464">
      <x:c r="A464" s="54" t="n">
        <x:v>460</x:v>
      </x:c>
      <x:c r="B464" s="54" t="n">
        <x:v>2</x:v>
      </x:c>
      <x:c r="C464" s="54" t="n">
        <x:v>4</x:v>
      </x:c>
      <x:c r="D464" s="54" t="n">
        <x:v>0</x:v>
      </x:c>
      <x:c r="E464" s="54" t="n">
        <x:v>64146</x:v>
      </x:c>
      <x:c r="F464" s="54" t="n">
        <x:v>53242</x:v>
      </x:c>
      <x:c r="G464" s="54" t="n">
        <x:v>8418</x:v>
      </x:c>
      <x:c r="H464" s="54" t="n">
        <x:v>12588</x:v>
      </x:c>
      <x:c r="I464" s="54" t="n">
        <x:v>4406</x:v>
      </x:c>
      <x:c r="J464" s="54" t="n">
        <x:v>106</x:v>
      </x:c>
      <x:c r="K464" s="53" t="n">
        <x:v>8.671598</x:v>
      </x:c>
      <x:c r="L464" s="53" t="n">
        <x:v>42.0916</x:v>
      </x:c>
      <x:c r="M464" s="53" t="n">
        <x:v>-71.2648</x:v>
      </x:c>
      <x:c r="N464" s="54" t="n">
        <x:v>300</x:v>
      </x:c>
      <x:c r="O464" s="54" t="n">
        <x:v>0</x:v>
      </x:c>
    </x:row>
    <x:row r="465">
      <x:c r="A465" s="54" t="n">
        <x:v>461</x:v>
      </x:c>
      <x:c r="B465" s="54" t="n">
        <x:v>8</x:v>
      </x:c>
      <x:c r="C465" s="54" t="n">
        <x:v>15</x:v>
      </x:c>
      <x:c r="D465" s="54" t="n">
        <x:v>0</x:v>
      </x:c>
      <x:c r="E465" s="54" t="n">
        <x:v>80663</x:v>
      </x:c>
      <x:c r="F465" s="54" t="n">
        <x:v>64589</x:v>
      </x:c>
      <x:c r="G465" s="54" t="n">
        <x:v>17126</x:v>
      </x:c>
      <x:c r="H465" s="54" t="n">
        <x:v>40429</x:v>
      </x:c>
      <x:c r="I465" s="54" t="n">
        <x:v>22236</x:v>
      </x:c>
      <x:c r="J465" s="54" t="n">
        <x:v>55</x:v>
      </x:c>
      <x:c r="K465" s="53" t="n">
        <x:v>10.438681</x:v>
      </x:c>
      <x:c r="L465" s="53" t="n">
        <x:v>40.807664</x:v>
      </x:c>
      <x:c r="M465" s="53" t="n">
        <x:v>-74.069833</x:v>
      </x:c>
      <x:c r="N465" s="54" t="n">
        <x:v>250</x:v>
      </x:c>
      <x:c r="O465" s="54" t="n">
        <x:v>0</x:v>
      </x:c>
    </x:row>
    <x:row r="466">
      <x:c r="A466" s="54" t="n">
        <x:v>462</x:v>
      </x:c>
      <x:c r="B466" s="54" t="n">
        <x:v>4</x:v>
      </x:c>
      <x:c r="C466" s="54" t="n">
        <x:v>7</x:v>
      </x:c>
      <x:c r="D466" s="54" t="n">
        <x:v>0</x:v>
      </x:c>
      <x:c r="E466" s="54" t="n">
        <x:v>68777</x:v>
      </x:c>
      <x:c r="F466" s="54" t="n">
        <x:v>66410</x:v>
      </x:c>
      <x:c r="G466" s="54" t="n">
        <x:v>21451</x:v>
      </x:c>
      <x:c r="H466" s="54" t="n">
        <x:v>19704</x:v>
      </x:c>
      <x:c r="I466" s="54" t="n">
        <x:v>11822</x:v>
      </x:c>
      <x:c r="J466" s="54" t="n">
        <x:v>87</x:v>
      </x:c>
      <x:c r="K466" s="53" t="n">
        <x:v>9.092387</x:v>
      </x:c>
      <x:c r="L466" s="53" t="n">
        <x:v>29.6852</x:v>
      </x:c>
      <x:c r="M466" s="53" t="n">
        <x:v>-95.407</x:v>
      </x:c>
      <x:c r="N466" s="54" t="n">
        <x:v>250</x:v>
      </x:c>
      <x:c r="O466" s="54" t="n">
        <x:v>0</x:v>
      </x:c>
    </x:row>
    <x:row r="467">
      <x:c r="A467" s="54" t="n">
        <x:v>463</x:v>
      </x:c>
      <x:c r="B467" s="54" t="n">
        <x:v>11</x:v>
      </x:c>
      <x:c r="C467" s="54" t="n">
        <x:v>21</x:v>
      </x:c>
      <x:c r="D467" s="54" t="n">
        <x:v>0</x:v>
      </x:c>
      <x:c r="E467" s="54" t="n">
        <x:v>66925</x:v>
      </x:c>
      <x:c r="F467" s="54" t="n">
        <x:v>66170</x:v>
      </x:c>
      <x:c r="G467" s="54" t="n">
        <x:v>34869</x:v>
      </x:c>
      <x:c r="H467" s="54" t="n">
        <x:v>39106</x:v>
      </x:c>
      <x:c r="I467" s="54" t="n">
        <x:v>21508</x:v>
      </x:c>
      <x:c r="J467" s="54" t="n">
        <x:v>78</x:v>
      </x:c>
      <x:c r="K467" s="53" t="n">
        <x:v>8.408439</x:v>
      </x:c>
      <x:c r="L467" s="53" t="n">
        <x:v>47.5917</x:v>
      </x:c>
      <x:c r="M467" s="53" t="n">
        <x:v>-122.3272</x:v>
      </x:c>
      <x:c r="N467" s="54" t="n">
        <x:v>250</x:v>
      </x:c>
      <x:c r="O467" s="54" t="n">
        <x:v>1</x:v>
      </x:c>
    </x:row>
    <x:row r="468">
      <x:c r="A468" s="54" t="n">
        <x:v>464</x:v>
      </x:c>
      <x:c r="B468" s="54" t="n">
        <x:v>2</x:v>
      </x:c>
      <x:c r="C468" s="54" t="n">
        <x:v>3</x:v>
      </x:c>
      <x:c r="D468" s="54" t="n">
        <x:v>0</x:v>
      </x:c>
      <x:c r="E468" s="54" t="n">
        <x:v>64146</x:v>
      </x:c>
      <x:c r="F468" s="54" t="n">
        <x:v>59563</x:v>
      </x:c>
      <x:c r="G468" s="54" t="n">
        <x:v>19040</x:v>
      </x:c>
      <x:c r="H468" s="54" t="n">
        <x:v>12072</x:v>
      </x:c>
      <x:c r="I468" s="54" t="n">
        <x:v>7847</x:v>
      </x:c>
      <x:c r="J468" s="54" t="n">
        <x:v>108</x:v>
      </x:c>
      <x:c r="K468" s="53" t="n">
        <x:v>8.671598</x:v>
      </x:c>
      <x:c r="L468" s="53" t="n">
        <x:v>42.0889</x:v>
      </x:c>
      <x:c r="M468" s="53" t="n">
        <x:v>-71.2597</x:v>
      </x:c>
      <x:c r="N468" s="54" t="n">
        <x:v>250</x:v>
      </x:c>
      <x:c r="O468" s="54" t="n">
        <x:v>1</x:v>
      </x:c>
    </x:row>
    <x:row r="469">
      <x:c r="A469" s="54" t="n">
        <x:v>465</x:v>
      </x:c>
      <x:c r="B469" s="54" t="n">
        <x:v>8</x:v>
      </x:c>
      <x:c r="C469" s="54" t="n">
        <x:v>15</x:v>
      </x:c>
      <x:c r="D469" s="54" t="n">
        <x:v>1</x:v>
      </x:c>
      <x:c r="E469" s="54" t="n">
        <x:v>80663</x:v>
      </x:c>
      <x:c r="F469" s="54" t="n">
        <x:v>71510</x:v>
      </x:c>
      <x:c r="G469" s="54" t="n">
        <x:v>23502</x:v>
      </x:c>
      <x:c r="H469" s="54" t="n">
        <x:v>42567</x:v>
      </x:c>
      <x:c r="I469" s="54" t="n">
        <x:v>23412</x:v>
      </x:c>
      <x:c r="J469" s="54" t="n">
        <x:v>72</x:v>
      </x:c>
      <x:c r="K469" s="53" t="n">
        <x:v>10.438681</x:v>
      </x:c>
      <x:c r="L469" s="53" t="n">
        <x:v>40.807664</x:v>
      </x:c>
      <x:c r="M469" s="53" t="n">
        <x:v>-74.069833</x:v>
      </x:c>
      <x:c r="N469" s="54" t="n">
        <x:v>250</x:v>
      </x:c>
      <x:c r="O469" s="54" t="n">
        <x:v>0</x:v>
      </x:c>
    </x:row>
    <x:row r="470">
      <x:c r="A470" s="54" t="n">
        <x:v>466</x:v>
      </x:c>
      <x:c r="B470" s="54" t="n">
        <x:v>5</x:v>
      </x:c>
      <x:c r="C470" s="54" t="n">
        <x:v>10</x:v>
      </x:c>
      <x:c r="D470" s="54" t="n">
        <x:v>0</x:v>
      </x:c>
      <x:c r="E470" s="54" t="n">
        <x:v>69045</x:v>
      </x:c>
      <x:c r="F470" s="54" t="n">
        <x:v>61759</x:v>
      </x:c>
      <x:c r="G470" s="54" t="n">
        <x:v>3311</x:v>
      </x:c>
      <x:c r="H470" s="54" t="n">
        <x:v>4941</x:v>
      </x:c>
      <x:c r="I470" s="54" t="n">
        <x:v>2223</x:v>
      </x:c>
      <x:c r="J470" s="54" t="n">
        <x:v>124</x:v>
      </x:c>
      <x:c r="K470" s="53" t="n">
        <x:v>8.632123</x:v>
      </x:c>
      <x:c r="L470" s="53" t="n">
        <x:v>39.0491</x:v>
      </x:c>
      <x:c r="M470" s="53" t="n">
        <x:v>-94.4871</x:v>
      </x:c>
      <x:c r="N470" s="54" t="n">
        <x:v>400</x:v>
      </x:c>
      <x:c r="O470" s="54" t="n">
        <x:v>0</x:v>
      </x:c>
    </x:row>
    <x:row r="471">
      <x:c r="A471" s="54" t="n">
        <x:v>467</x:v>
      </x:c>
      <x:c r="B471" s="54" t="n">
        <x:v>3</x:v>
      </x:c>
      <x:c r="C471" s="54" t="n">
        <x:v>6</x:v>
      </x:c>
      <x:c r="D471" s="54" t="n">
        <x:v>0</x:v>
      </x:c>
      <x:c r="E471" s="54" t="n">
        <x:v>70649</x:v>
      </x:c>
      <x:c r="F471" s="54" t="n">
        <x:v>56535</x:v>
      </x:c>
      <x:c r="G471" s="54" t="n">
        <x:v>4011</x:v>
      </x:c>
      <x:c r="H471" s="54" t="n">
        <x:v>10201</x:v>
      </x:c>
      <x:c r="I471" s="54" t="n">
        <x:v>4590</x:v>
      </x:c>
      <x:c r="J471" s="54" t="n">
        <x:v>114</x:v>
      </x:c>
      <x:c r="K471" s="53" t="n">
        <x:v>10.033037</x:v>
      </x:c>
      <x:c r="L471" s="53" t="n">
        <x:v>32.7506</x:v>
      </x:c>
      <x:c r="M471" s="53" t="n">
        <x:v>-97.0915</x:v>
      </x:c>
      <x:c r="N471" s="54" t="n">
        <x:v>350</x:v>
      </x:c>
      <x:c r="O471" s="54" t="n">
        <x:v>0</x:v>
      </x:c>
    </x:row>
    <x:row r="472">
      <x:c r="A472" s="54" t="n">
        <x:v>468</x:v>
      </x:c>
      <x:c r="B472" s="54" t="n">
        <x:v>2</x:v>
      </x:c>
      <x:c r="C472" s="54" t="n">
        <x:v>3</x:v>
      </x:c>
      <x:c r="D472" s="54" t="n">
        <x:v>1</x:v>
      </x:c>
      <x:c r="E472" s="54" t="n">
        <x:v>64146</x:v>
      </x:c>
      <x:c r="F472" s="54" t="n">
        <x:v>56684</x:v>
      </x:c>
      <x:c r="G472" s="54" t="n">
        <x:v>14742</x:v>
      </x:c>
      <x:c r="H472" s="54" t="n">
        <x:v>11568</x:v>
      </x:c>
      <x:c r="I472" s="54" t="n">
        <x:v>7519</x:v>
      </x:c>
      <x:c r="J472" s="54" t="n">
        <x:v>105</x:v>
      </x:c>
      <x:c r="K472" s="53" t="n">
        <x:v>8.671598</x:v>
      </x:c>
      <x:c r="L472" s="53" t="n">
        <x:v>42.0889</x:v>
      </x:c>
      <x:c r="M472" s="53" t="n">
        <x:v>-71.2597</x:v>
      </x:c>
      <x:c r="N472" s="54" t="n">
        <x:v>250</x:v>
      </x:c>
      <x:c r="O472" s="54" t="n">
        <x:v>0</x:v>
      </x:c>
    </x:row>
    <x:row r="473">
      <x:c r="A473" s="54" t="n">
        <x:v>469</x:v>
      </x:c>
      <x:c r="B473" s="54" t="n">
        <x:v>9</x:v>
      </x:c>
      <x:c r="C473" s="54" t="n">
        <x:v>17</x:v>
      </x:c>
      <x:c r="D473" s="54" t="n">
        <x:v>0</x:v>
      </x:c>
      <x:c r="E473" s="54" t="n">
        <x:v>68324</x:v>
      </x:c>
      <x:c r="F473" s="54" t="n">
        <x:v>56866</x:v>
      </x:c>
      <x:c r="G473" s="54" t="n">
        <x:v>28146</x:v>
      </x:c>
      <x:c r="H473" s="54" t="n">
        <x:v>23435</x:v>
      </x:c>
      <x:c r="I473" s="54" t="n">
        <x:v>14061</x:v>
      </x:c>
      <x:c r="J473" s="54" t="n">
        <x:v>90</x:v>
      </x:c>
      <x:c r="K473" s="53" t="n">
        <x:v>8.474327</x:v>
      </x:c>
      <x:c r="L473" s="53" t="n">
        <x:v>39.9047</x:v>
      </x:c>
      <x:c r="M473" s="53" t="n">
        <x:v>-75.1736</x:v>
      </x:c>
      <x:c r="N473" s="54" t="n">
        <x:v>250</x:v>
      </x:c>
      <x:c r="O473" s="54" t="n">
        <x:v>1</x:v>
      </x:c>
    </x:row>
    <x:row r="474">
      <x:c r="A474" s="54" t="n">
        <x:v>470</x:v>
      </x:c>
      <x:c r="B474" s="54" t="n">
        <x:v>2</x:v>
      </x:c>
      <x:c r="C474" s="54" t="n">
        <x:v>4</x:v>
      </x:c>
      <x:c r="D474" s="54" t="n">
        <x:v>0</x:v>
      </x:c>
      <x:c r="E474" s="54" t="n">
        <x:v>64146</x:v>
      </x:c>
      <x:c r="F474" s="54" t="n">
        <x:v>54095</x:v>
      </x:c>
      <x:c r="G474" s="54" t="n">
        <x:v>11074</x:v>
      </x:c>
      <x:c r="H474" s="54" t="n">
        <x:v>12538</x:v>
      </x:c>
      <x:c r="I474" s="54" t="n">
        <x:v>4388</x:v>
      </x:c>
      <x:c r="J474" s="54" t="n">
        <x:v>103</x:v>
      </x:c>
      <x:c r="K474" s="53" t="n">
        <x:v>8.671598</x:v>
      </x:c>
      <x:c r="L474" s="53" t="n">
        <x:v>42.0916</x:v>
      </x:c>
      <x:c r="M474" s="53" t="n">
        <x:v>-71.2648</x:v>
      </x:c>
      <x:c r="N474" s="54" t="n">
        <x:v>300</x:v>
      </x:c>
      <x:c r="O474" s="54" t="n">
        <x:v>0</x:v>
      </x:c>
    </x:row>
    <x:row r="475">
      <x:c r="A475" s="54" t="n">
        <x:v>471</x:v>
      </x:c>
      <x:c r="B475" s="54" t="n">
        <x:v>6</x:v>
      </x:c>
      <x:c r="C475" s="54" t="n">
        <x:v>11</x:v>
      </x:c>
      <x:c r="D475" s="54" t="n">
        <x:v>0</x:v>
      </x:c>
      <x:c r="E475" s="54" t="n">
        <x:v>70492</x:v>
      </x:c>
      <x:c r="F475" s="54" t="n">
        <x:v>64101</x:v>
      </x:c>
      <x:c r="G475" s="54" t="n">
        <x:v>21006</x:v>
      </x:c>
      <x:c r="H475" s="54" t="n">
        <x:v>12391</x:v>
      </x:c>
      <x:c r="I475" s="54" t="n">
        <x:v>6196</x:v>
      </x:c>
      <x:c r="J475" s="54" t="n">
        <x:v>100</x:v>
      </x:c>
      <x:c r="K475" s="53" t="n">
        <x:v>9.603284</x:v>
      </x:c>
      <x:c r="L475" s="53" t="n">
        <x:v>33.9509</x:v>
      </x:c>
      <x:c r="M475" s="53" t="n">
        <x:v>-118.3441</x:v>
      </x:c>
      <x:c r="N475" s="54" t="n">
        <x:v>350</x:v>
      </x:c>
      <x:c r="O475" s="54" t="n">
        <x:v>0</x:v>
      </x:c>
    </x:row>
    <x:row r="476">
      <x:c r="A476" s="54" t="n">
        <x:v>472</x:v>
      </x:c>
      <x:c r="B476" s="54" t="n">
        <x:v>8</x:v>
      </x:c>
      <x:c r="C476" s="54" t="n">
        <x:v>15</x:v>
      </x:c>
      <x:c r="D476" s="54" t="n">
        <x:v>0</x:v>
      </x:c>
      <x:c r="E476" s="54" t="n">
        <x:v>80663</x:v>
      </x:c>
      <x:c r="F476" s="54" t="n">
        <x:v>69316</x:v>
      </x:c>
      <x:c r="G476" s="54" t="n">
        <x:v>19906</x:v>
      </x:c>
      <x:c r="H476" s="54" t="n">
        <x:v>39152</x:v>
      </x:c>
      <x:c r="I476" s="54" t="n">
        <x:v>21534</x:v>
      </x:c>
      <x:c r="J476" s="54" t="n">
        <x:v>69</x:v>
      </x:c>
      <x:c r="K476" s="53" t="n">
        <x:v>10.438681</x:v>
      </x:c>
      <x:c r="L476" s="53" t="n">
        <x:v>40.807664</x:v>
      </x:c>
      <x:c r="M476" s="53" t="n">
        <x:v>-74.069833</x:v>
      </x:c>
      <x:c r="N476" s="54" t="n">
        <x:v>250</x:v>
      </x:c>
      <x:c r="O476" s="54" t="n">
        <x:v>0</x:v>
      </x:c>
    </x:row>
    <x:row r="477">
      <x:c r="A477" s="54" t="n">
        <x:v>473</x:v>
      </x:c>
      <x:c r="B477" s="54" t="n">
        <x:v>11</x:v>
      </x:c>
      <x:c r="C477" s="54" t="n">
        <x:v>21</x:v>
      </x:c>
      <x:c r="D477" s="54" t="n">
        <x:v>0</x:v>
      </x:c>
      <x:c r="E477" s="54" t="n">
        <x:v>66925</x:v>
      </x:c>
      <x:c r="F477" s="54" t="n">
        <x:v>58842</x:v>
      </x:c>
      <x:c r="G477" s="54" t="n">
        <x:v>32512</x:v>
      </x:c>
      <x:c r="H477" s="54" t="n">
        <x:v>33018</x:v>
      </x:c>
      <x:c r="I477" s="54" t="n">
        <x:v>18160</x:v>
      </x:c>
      <x:c r="J477" s="54" t="n">
        <x:v>68</x:v>
      </x:c>
      <x:c r="K477" s="53" t="n">
        <x:v>8.408439</x:v>
      </x:c>
      <x:c r="L477" s="53" t="n">
        <x:v>47.5917</x:v>
      </x:c>
      <x:c r="M477" s="53" t="n">
        <x:v>-122.3272</x:v>
      </x:c>
      <x:c r="N477" s="54" t="n">
        <x:v>250</x:v>
      </x:c>
      <x:c r="O477" s="54" t="n">
        <x:v>1</x:v>
      </x:c>
    </x:row>
    <x:row r="478">
      <x:c r="A478" s="54" t="n">
        <x:v>474</x:v>
      </x:c>
      <x:c r="B478" s="54" t="n">
        <x:v>6</x:v>
      </x:c>
      <x:c r="C478" s="54" t="n">
        <x:v>11</x:v>
      </x:c>
      <x:c r="D478" s="54" t="n">
        <x:v>0</x:v>
      </x:c>
      <x:c r="E478" s="54" t="n">
        <x:v>70492</x:v>
      </x:c>
      <x:c r="F478" s="54" t="n">
        <x:v>66357</x:v>
      </x:c>
      <x:c r="G478" s="54" t="n">
        <x:v>28606</x:v>
      </x:c>
      <x:c r="H478" s="54" t="n">
        <x:v>9621</x:v>
      </x:c>
      <x:c r="I478" s="54" t="n">
        <x:v>4811</x:v>
      </x:c>
      <x:c r="J478" s="54" t="n">
        <x:v>112</x:v>
      </x:c>
      <x:c r="K478" s="53" t="n">
        <x:v>9.603284</x:v>
      </x:c>
      <x:c r="L478" s="53" t="n">
        <x:v>33.9509</x:v>
      </x:c>
      <x:c r="M478" s="53" t="n">
        <x:v>-118.3441</x:v>
      </x:c>
      <x:c r="N478" s="54" t="n">
        <x:v>350</x:v>
      </x:c>
      <x:c r="O478" s="54" t="n">
        <x:v>1</x:v>
      </x:c>
    </x:row>
    <x:row r="479">
      <x:c r="A479" s="54" t="n">
        <x:v>475</x:v>
      </x:c>
      <x:c r="B479" s="54" t="n">
        <x:v>6</x:v>
      </x:c>
      <x:c r="C479" s="54" t="n">
        <x:v>11</x:v>
      </x:c>
      <x:c r="D479" s="54" t="n">
        <x:v>0</x:v>
      </x:c>
      <x:c r="E479" s="54" t="n">
        <x:v>70492</x:v>
      </x:c>
      <x:c r="F479" s="54" t="n">
        <x:v>64655</x:v>
      </x:c>
      <x:c r="G479" s="54" t="n">
        <x:v>24900</x:v>
      </x:c>
      <x:c r="H479" s="54" t="n">
        <x:v>22498</x:v>
      </x:c>
      <x:c r="I479" s="54" t="n">
        <x:v>11249</x:v>
      </x:c>
      <x:c r="J479" s="54" t="n">
        <x:v>119</x:v>
      </x:c>
      <x:c r="K479" s="53" t="n">
        <x:v>9.603284</x:v>
      </x:c>
      <x:c r="L479" s="53" t="n">
        <x:v>33.9509</x:v>
      </x:c>
      <x:c r="M479" s="53" t="n">
        <x:v>-118.3441</x:v>
      </x:c>
      <x:c r="N479" s="54" t="n">
        <x:v>350</x:v>
      </x:c>
      <x:c r="O479" s="54" t="n">
        <x:v>1</x:v>
      </x:c>
    </x:row>
    <x:row r="480">
      <x:c r="A480" s="54" t="n">
        <x:v>476</x:v>
      </x:c>
      <x:c r="B480" s="54" t="n">
        <x:v>6</x:v>
      </x:c>
      <x:c r="C480" s="54" t="n">
        <x:v>11</x:v>
      </x:c>
      <x:c r="D480" s="54" t="n">
        <x:v>0</x:v>
      </x:c>
      <x:c r="E480" s="54" t="n">
        <x:v>70492</x:v>
      </x:c>
      <x:c r="F480" s="54" t="n">
        <x:v>63763</x:v>
      </x:c>
      <x:c r="G480" s="54" t="n">
        <x:v>24239</x:v>
      </x:c>
      <x:c r="H480" s="54" t="n">
        <x:v>13554</x:v>
      </x:c>
      <x:c r="I480" s="54" t="n">
        <x:v>6777</x:v>
      </x:c>
      <x:c r="J480" s="54" t="n">
        <x:v>112</x:v>
      </x:c>
      <x:c r="K480" s="53" t="n">
        <x:v>9.603284</x:v>
      </x:c>
      <x:c r="L480" s="53" t="n">
        <x:v>33.9509</x:v>
      </x:c>
      <x:c r="M480" s="53" t="n">
        <x:v>-118.3441</x:v>
      </x:c>
      <x:c r="N480" s="54" t="n">
        <x:v>350</x:v>
      </x:c>
      <x:c r="O480" s="54" t="n">
        <x:v>1</x:v>
      </x:c>
    </x:row>
    <x:row r="481">
      <x:c r="A481" s="54" t="n">
        <x:v>477</x:v>
      </x:c>
      <x:c r="B481" s="54" t="n">
        <x:v>5</x:v>
      </x:c>
      <x:c r="C481" s="54" t="n">
        <x:v>10</x:v>
      </x:c>
      <x:c r="D481" s="54" t="n">
        <x:v>0</x:v>
      </x:c>
      <x:c r="E481" s="54" t="n">
        <x:v>69045</x:v>
      </x:c>
      <x:c r="F481" s="54" t="n">
        <x:v>56549</x:v>
      </x:c>
      <x:c r="G481" s="54" t="n">
        <x:v>7853</x:v>
      </x:c>
      <x:c r="H481" s="54" t="n">
        <x:v>11906</x:v>
      </x:c>
      <x:c r="I481" s="54" t="n">
        <x:v>5358</x:v>
      </x:c>
      <x:c r="J481" s="54" t="n">
        <x:v>106</x:v>
      </x:c>
      <x:c r="K481" s="53" t="n">
        <x:v>8.632123</x:v>
      </x:c>
      <x:c r="L481" s="53" t="n">
        <x:v>39.0491</x:v>
      </x:c>
      <x:c r="M481" s="53" t="n">
        <x:v>-94.4871</x:v>
      </x:c>
      <x:c r="N481" s="54" t="n">
        <x:v>400</x:v>
      </x:c>
      <x:c r="O481" s="54" t="n">
        <x:v>0</x:v>
      </x:c>
    </x:row>
    <x:row r="482">
      <x:c r="A482" s="54" t="n">
        <x:v>478</x:v>
      </x:c>
      <x:c r="B482" s="54" t="n">
        <x:v>1</x:v>
      </x:c>
      <x:c r="C482" s="54" t="n">
        <x:v>1</x:v>
      </x:c>
      <x:c r="D482" s="54" t="n">
        <x:v>3</x:v>
      </x:c>
      <x:c r="E482" s="54" t="n">
        <x:v>68239</x:v>
      </x:c>
      <x:c r="F482" s="54" t="n">
        <x:v>61192</x:v>
      </x:c>
      <x:c r="G482" s="54" t="n">
        <x:v>32460</x:v>
      </x:c>
      <x:c r="H482" s="54" t="n">
        <x:v>19049</x:v>
      </x:c>
      <x:c r="I482" s="54" t="n">
        <x:v>11048</x:v>
      </x:c>
      <x:c r="J482" s="54" t="n">
        <x:v>66</x:v>
      </x:c>
      <x:c r="K482" s="53" t="n">
        <x:v>9.391018</x:v>
      </x:c>
      <x:c r="L482" s="53" t="n">
        <x:v>33.7565</x:v>
      </x:c>
      <x:c r="M482" s="53" t="n">
        <x:v>-84.4038</x:v>
      </x:c>
      <x:c r="N482" s="54" t="n">
        <x:v>250</x:v>
      </x:c>
      <x:c r="O482" s="54" t="n">
        <x:v>1</x:v>
      </x:c>
    </x:row>
    <x:row r="483">
      <x:c r="A483" s="54" t="n">
        <x:v>479</x:v>
      </x:c>
      <x:c r="B483" s="54" t="n">
        <x:v>5</x:v>
      </x:c>
      <x:c r="C483" s="54" t="n">
        <x:v>10</x:v>
      </x:c>
      <x:c r="D483" s="54" t="n">
        <x:v>3</x:v>
      </x:c>
      <x:c r="E483" s="54" t="n">
        <x:v>69045</x:v>
      </x:c>
      <x:c r="F483" s="54" t="n">
        <x:v>57271</x:v>
      </x:c>
      <x:c r="G483" s="54" t="n">
        <x:v>7098</x:v>
      </x:c>
      <x:c r="H483" s="54" t="n">
        <x:v>10799</x:v>
      </x:c>
      <x:c r="I483" s="54" t="n">
        <x:v>4860</x:v>
      </x:c>
      <x:c r="J483" s="54" t="n">
        <x:v>118</x:v>
      </x:c>
      <x:c r="K483" s="53" t="n">
        <x:v>8.632123</x:v>
      </x:c>
      <x:c r="L483" s="53" t="n">
        <x:v>39.0491</x:v>
      </x:c>
      <x:c r="M483" s="53" t="n">
        <x:v>-94.4871</x:v>
      </x:c>
      <x:c r="N483" s="54" t="n">
        <x:v>400</x:v>
      </x:c>
      <x:c r="O483" s="54" t="n">
        <x:v>0</x:v>
      </x:c>
    </x:row>
    <x:row r="484">
      <x:c r="A484" s="54" t="n">
        <x:v>480</x:v>
      </x:c>
      <x:c r="B484" s="54" t="n">
        <x:v>5</x:v>
      </x:c>
      <x:c r="C484" s="54" t="n">
        <x:v>10</x:v>
      </x:c>
      <x:c r="D484" s="54" t="n">
        <x:v>0</x:v>
      </x:c>
      <x:c r="E484" s="54" t="n">
        <x:v>69045</x:v>
      </x:c>
      <x:c r="F484" s="54" t="n">
        <x:v>57834</x:v>
      </x:c>
      <x:c r="G484" s="54" t="n">
        <x:v>2892</x:v>
      </x:c>
      <x:c r="H484" s="54" t="n">
        <x:v>9421</x:v>
      </x:c>
      <x:c r="I484" s="54" t="n">
        <x:v>4239</x:v>
      </x:c>
      <x:c r="J484" s="54" t="n">
        <x:v>118</x:v>
      </x:c>
      <x:c r="K484" s="53" t="n">
        <x:v>8.632123</x:v>
      </x:c>
      <x:c r="L484" s="53" t="n">
        <x:v>39.0491</x:v>
      </x:c>
      <x:c r="M484" s="53" t="n">
        <x:v>-94.4871</x:v>
      </x:c>
      <x:c r="N484" s="54" t="n">
        <x:v>400</x:v>
      </x:c>
      <x:c r="O484" s="54" t="n">
        <x:v>0</x:v>
      </x:c>
    </x:row>
    <x:row r="485">
      <x:c r="A485" s="54" t="n">
        <x:v>481</x:v>
      </x:c>
      <x:c r="B485" s="54" t="n">
        <x:v>9</x:v>
      </x:c>
      <x:c r="C485" s="54" t="n">
        <x:v>17</x:v>
      </x:c>
      <x:c r="D485" s="54" t="n">
        <x:v>0</x:v>
      </x:c>
      <x:c r="E485" s="54" t="n">
        <x:v>68324</x:v>
      </x:c>
      <x:c r="F485" s="54" t="n">
        <x:v>62473</x:v>
      </x:c>
      <x:c r="G485" s="54" t="n">
        <x:v>28059</x:v>
      </x:c>
      <x:c r="H485" s="54" t="n">
        <x:v>29515</x:v>
      </x:c>
      <x:c r="I485" s="54" t="n">
        <x:v>17709</x:v>
      </x:c>
      <x:c r="J485" s="54" t="n">
        <x:v>77</x:v>
      </x:c>
      <x:c r="K485" s="53" t="n">
        <x:v>8.474327</x:v>
      </x:c>
      <x:c r="L485" s="53" t="n">
        <x:v>39.9047</x:v>
      </x:c>
      <x:c r="M485" s="53" t="n">
        <x:v>-75.1736</x:v>
      </x:c>
      <x:c r="N485" s="54" t="n">
        <x:v>250</x:v>
      </x:c>
      <x:c r="O485" s="54" t="n">
        <x:v>1</x:v>
      </x:c>
    </x:row>
    <x:row r="486">
      <x:c r="A486" s="54" t="n">
        <x:v>482</x:v>
      </x:c>
      <x:c r="B486" s="54" t="n">
        <x:v>10</x:v>
      </x:c>
      <x:c r="C486" s="54" t="n">
        <x:v>19</x:v>
      </x:c>
      <x:c r="D486" s="54" t="n">
        <x:v>0</x:v>
      </x:c>
      <x:c r="E486" s="54" t="n">
        <x:v>68827</x:v>
      </x:c>
      <x:c r="F486" s="54" t="n">
        <x:v>64945</x:v>
      </x:c>
      <x:c r="G486" s="54" t="n">
        <x:v>37893</x:v>
      </x:c>
      <x:c r="H486" s="54" t="n">
        <x:v>22039</x:v>
      </x:c>
      <x:c r="I486" s="54" t="n">
        <x:v>14325</x:v>
      </x:c>
      <x:c r="J486" s="54" t="n">
        <x:v>98</x:v>
      </x:c>
      <x:c r="K486" s="53" t="n">
        <x:v>8.807888</x:v>
      </x:c>
      <x:c r="L486" s="53" t="n">
        <x:v>37.403468</x:v>
      </x:c>
      <x:c r="M486" s="53" t="n">
        <x:v>-121.974908</x:v>
      </x:c>
      <x:c r="N486" s="54" t="n">
        <x:v>250</x:v>
      </x:c>
      <x:c r="O486" s="54" t="n">
        <x:v>1</x:v>
      </x:c>
    </x:row>
    <x:row r="487">
      <x:c r="A487" s="54" t="n">
        <x:v>483</x:v>
      </x:c>
      <x:c r="B487" s="54" t="n">
        <x:v>1</x:v>
      </x:c>
      <x:c r="C487" s="54" t="n">
        <x:v>1</x:v>
      </x:c>
      <x:c r="D487" s="54" t="n">
        <x:v>0</x:v>
      </x:c>
      <x:c r="E487" s="54" t="n">
        <x:v>68239</x:v>
      </x:c>
      <x:c r="F487" s="54" t="n">
        <x:v>56202</x:v>
      </x:c>
      <x:c r="G487" s="54" t="n">
        <x:v>31752</x:v>
      </x:c>
      <x:c r="H487" s="54" t="n">
        <x:v>20142</x:v>
      </x:c>
      <x:c r="I487" s="54" t="n">
        <x:v>11682</x:v>
      </x:c>
      <x:c r="J487" s="54" t="n">
        <x:v>64</x:v>
      </x:c>
      <x:c r="K487" s="53" t="n">
        <x:v>9.391018</x:v>
      </x:c>
      <x:c r="L487" s="53" t="n">
        <x:v>33.7565</x:v>
      </x:c>
      <x:c r="M487" s="53" t="n">
        <x:v>-84.4038</x:v>
      </x:c>
      <x:c r="N487" s="54" t="n">
        <x:v>250</x:v>
      </x:c>
      <x:c r="O487" s="54" t="n">
        <x:v>0</x:v>
      </x:c>
    </x:row>
    <x:row r="488">
      <x:c r="A488" s="54" t="n">
        <x:v>484</x:v>
      </x:c>
      <x:c r="B488" s="54" t="n">
        <x:v>6</x:v>
      </x:c>
      <x:c r="C488" s="54" t="n">
        <x:v>11</x:v>
      </x:c>
      <x:c r="D488" s="54" t="n">
        <x:v>1</x:v>
      </x:c>
      <x:c r="E488" s="54" t="n">
        <x:v>70492</x:v>
      </x:c>
      <x:c r="F488" s="54" t="n">
        <x:v>63563</x:v>
      </x:c>
      <x:c r="G488" s="54" t="n">
        <x:v>29570</x:v>
      </x:c>
      <x:c r="H488" s="54" t="n">
        <x:v>16051</x:v>
      </x:c>
      <x:c r="I488" s="54" t="n">
        <x:v>8026</x:v>
      </x:c>
      <x:c r="J488" s="54" t="n">
        <x:v>106</x:v>
      </x:c>
      <x:c r="K488" s="53" t="n">
        <x:v>9.603284</x:v>
      </x:c>
      <x:c r="L488" s="53" t="n">
        <x:v>33.9509</x:v>
      </x:c>
      <x:c r="M488" s="53" t="n">
        <x:v>-118.3441</x:v>
      </x:c>
      <x:c r="N488" s="54" t="n">
        <x:v>350</x:v>
      </x:c>
      <x:c r="O488" s="54" t="n">
        <x:v>1</x:v>
      </x:c>
    </x:row>
    <x:row r="489">
      <x:c r="A489" s="54" t="n">
        <x:v>485</x:v>
      </x:c>
      <x:c r="B489" s="54" t="n">
        <x:v>1</x:v>
      </x:c>
      <x:c r="C489" s="54" t="n">
        <x:v>1</x:v>
      </x:c>
      <x:c r="D489" s="54" t="n">
        <x:v>0</x:v>
      </x:c>
      <x:c r="E489" s="54" t="n">
        <x:v>68239</x:v>
      </x:c>
      <x:c r="F489" s="54" t="n">
        <x:v>54620</x:v>
      </x:c>
      <x:c r="G489" s="54" t="n">
        <x:v>32095</x:v>
      </x:c>
      <x:c r="H489" s="54" t="n">
        <x:v>15760</x:v>
      </x:c>
      <x:c r="I489" s="54" t="n">
        <x:v>9141</x:v>
      </x:c>
      <x:c r="J489" s="54" t="n">
        <x:v>59</x:v>
      </x:c>
      <x:c r="K489" s="53" t="n">
        <x:v>9.391018</x:v>
      </x:c>
      <x:c r="L489" s="53" t="n">
        <x:v>33.7565</x:v>
      </x:c>
      <x:c r="M489" s="53" t="n">
        <x:v>-84.4038</x:v>
      </x:c>
      <x:c r="N489" s="54" t="n">
        <x:v>250</x:v>
      </x:c>
      <x:c r="O489" s="54" t="n">
        <x:v>0</x:v>
      </x:c>
    </x:row>
    <x:row r="490">
      <x:c r="A490" s="54" t="n">
        <x:v>486</x:v>
      </x:c>
      <x:c r="B490" s="54" t="n">
        <x:v>11</x:v>
      </x:c>
      <x:c r="C490" s="54" t="n">
        <x:v>21</x:v>
      </x:c>
      <x:c r="D490" s="54" t="n">
        <x:v>2</x:v>
      </x:c>
      <x:c r="E490" s="54" t="n">
        <x:v>66925</x:v>
      </x:c>
      <x:c r="F490" s="54" t="n">
        <x:v>56292</x:v>
      </x:c>
      <x:c r="G490" s="54" t="n">
        <x:v>29420</x:v>
      </x:c>
      <x:c r="H490" s="54" t="n">
        <x:v>30655</x:v>
      </x:c>
      <x:c r="I490" s="54" t="n">
        <x:v>16860</x:v>
      </x:c>
      <x:c r="J490" s="54" t="n">
        <x:v>68</x:v>
      </x:c>
      <x:c r="K490" s="53" t="n">
        <x:v>8.408439</x:v>
      </x:c>
      <x:c r="L490" s="53" t="n">
        <x:v>47.5917</x:v>
      </x:c>
      <x:c r="M490" s="53" t="n">
        <x:v>-122.3272</x:v>
      </x:c>
      <x:c r="N490" s="54" t="n">
        <x:v>250</x:v>
      </x:c>
      <x:c r="O490" s="54" t="n">
        <x:v>1</x:v>
      </x:c>
    </x:row>
    <x:row r="491">
      <x:c r="A491" s="54" t="n">
        <x:v>487</x:v>
      </x:c>
      <x:c r="B491" s="54" t="n">
        <x:v>7</x:v>
      </x:c>
      <x:c r="C491" s="54" t="n">
        <x:v>14</x:v>
      </x:c>
      <x:c r="D491" s="54" t="n">
        <x:v>2</x:v>
      </x:c>
      <x:c r="E491" s="54" t="n">
        <x:v>64478</x:v>
      </x:c>
      <x:c r="F491" s="54" t="n">
        <x:v>61737</x:v>
      </x:c>
      <x:c r="G491" s="54" t="n">
        <x:v>15198</x:v>
      </x:c>
      <x:c r="H491" s="54" t="n">
        <x:v>10629</x:v>
      </x:c>
      <x:c r="I491" s="54" t="n">
        <x:v>4783</x:v>
      </x:c>
      <x:c r="J491" s="54" t="n">
        <x:v>138</x:v>
      </x:c>
      <x:c r="K491" s="53" t="n">
        <x:v>8.69743</x:v>
      </x:c>
      <x:c r="L491" s="53" t="n">
        <x:v>25.9549</x:v>
      </x:c>
      <x:c r="M491" s="53" t="n">
        <x:v>-80.2383</x:v>
      </x:c>
      <x:c r="N491" s="54" t="n">
        <x:v>350</x:v>
      </x:c>
      <x:c r="O491" s="54" t="n">
        <x:v>1</x:v>
      </x:c>
    </x:row>
    <x:row r="492">
      <x:c r="A492" s="54" t="n">
        <x:v>488</x:v>
      </x:c>
      <x:c r="B492" s="54" t="n">
        <x:v>9</x:v>
      </x:c>
      <x:c r="C492" s="54" t="n">
        <x:v>17</x:v>
      </x:c>
      <x:c r="D492" s="54" t="n">
        <x:v>0</x:v>
      </x:c>
      <x:c r="E492" s="54" t="n">
        <x:v>68324</x:v>
      </x:c>
      <x:c r="F492" s="54" t="n">
        <x:v>51665</x:v>
      </x:c>
      <x:c r="G492" s="54" t="n">
        <x:v>22522</x:v>
      </x:c>
      <x:c r="H492" s="54" t="n">
        <x:v>26702</x:v>
      </x:c>
      <x:c r="I492" s="54" t="n">
        <x:v>16021</x:v>
      </x:c>
      <x:c r="J492" s="54" t="n">
        <x:v>91</x:v>
      </x:c>
      <x:c r="K492" s="53" t="n">
        <x:v>8.474327</x:v>
      </x:c>
      <x:c r="L492" s="53" t="n">
        <x:v>39.9047</x:v>
      </x:c>
      <x:c r="M492" s="53" t="n">
        <x:v>-75.1736</x:v>
      </x:c>
      <x:c r="N492" s="54" t="n">
        <x:v>250</x:v>
      </x:c>
      <x:c r="O492" s="54" t="n">
        <x:v>0</x:v>
      </x:c>
    </x:row>
    <x:row r="493">
      <x:c r="A493" s="54" t="n">
        <x:v>489</x:v>
      </x:c>
      <x:c r="B493" s="54" t="n">
        <x:v>8</x:v>
      </x:c>
      <x:c r="C493" s="54" t="n">
        <x:v>15</x:v>
      </x:c>
      <x:c r="D493" s="54" t="n">
        <x:v>0</x:v>
      </x:c>
      <x:c r="E493" s="54" t="n">
        <x:v>80663</x:v>
      </x:c>
      <x:c r="F493" s="54" t="n">
        <x:v>63456</x:v>
      </x:c>
      <x:c r="G493" s="54" t="n">
        <x:v>21677</x:v>
      </x:c>
      <x:c r="H493" s="54" t="n">
        <x:v>35803</x:v>
      </x:c>
      <x:c r="I493" s="54" t="n">
        <x:v>19692</x:v>
      </x:c>
      <x:c r="J493" s="54" t="n">
        <x:v>69</x:v>
      </x:c>
      <x:c r="K493" s="53" t="n">
        <x:v>10.438681</x:v>
      </x:c>
      <x:c r="L493" s="53" t="n">
        <x:v>40.807664</x:v>
      </x:c>
      <x:c r="M493" s="53" t="n">
        <x:v>-74.069833</x:v>
      </x:c>
      <x:c r="N493" s="54" t="n">
        <x:v>250</x:v>
      </x:c>
      <x:c r="O493" s="54" t="n">
        <x:v>0</x:v>
      </x:c>
    </x:row>
    <x:row r="494">
      <x:c r="A494" s="54" t="n">
        <x:v>490</x:v>
      </x:c>
      <x:c r="B494" s="54" t="n">
        <x:v>11</x:v>
      </x:c>
      <x:c r="C494" s="54" t="n">
        <x:v>21</x:v>
      </x:c>
      <x:c r="D494" s="54" t="n">
        <x:v>0</x:v>
      </x:c>
      <x:c r="E494" s="54" t="n">
        <x:v>66925</x:v>
      </x:c>
      <x:c r="F494" s="54" t="n">
        <x:v>61879</x:v>
      </x:c>
      <x:c r="G494" s="54" t="n">
        <x:v>32627</x:v>
      </x:c>
      <x:c r="H494" s="54" t="n">
        <x:v>34202</x:v>
      </x:c>
      <x:c r="I494" s="54" t="n">
        <x:v>18811</x:v>
      </x:c>
      <x:c r="J494" s="54" t="n">
        <x:v>71</x:v>
      </x:c>
      <x:c r="K494" s="53" t="n">
        <x:v>8.408439</x:v>
      </x:c>
      <x:c r="L494" s="53" t="n">
        <x:v>47.5917</x:v>
      </x:c>
      <x:c r="M494" s="53" t="n">
        <x:v>-122.3272</x:v>
      </x:c>
      <x:c r="N494" s="54" t="n">
        <x:v>250</x:v>
      </x:c>
      <x:c r="O494" s="54" t="n">
        <x:v>1</x:v>
      </x:c>
    </x:row>
    <x:row r="495">
      <x:c r="A495" s="54" t="n">
        <x:v>491</x:v>
      </x:c>
      <x:c r="B495" s="54" t="n">
        <x:v>8</x:v>
      </x:c>
      <x:c r="C495" s="54" t="n">
        <x:v>16</x:v>
      </x:c>
      <x:c r="D495" s="54" t="n">
        <x:v>0</x:v>
      </x:c>
      <x:c r="E495" s="54" t="n">
        <x:v>80663</x:v>
      </x:c>
      <x:c r="F495" s="54" t="n">
        <x:v>68048</x:v>
      </x:c>
      <x:c r="G495" s="54" t="n">
        <x:v>15464</x:v>
      </x:c>
      <x:c r="H495" s="54" t="n">
        <x:v>39350</x:v>
      </x:c>
      <x:c r="I495" s="54" t="n">
        <x:v>17708</x:v>
      </x:c>
      <x:c r="J495" s="54" t="n">
        <x:v>59</x:v>
      </x:c>
      <x:c r="K495" s="53" t="n">
        <x:v>10.438681</x:v>
      </x:c>
      <x:c r="L495" s="53" t="n">
        <x:v>40.81145</x:v>
      </x:c>
      <x:c r="M495" s="53" t="n">
        <x:v>-74.07075</x:v>
      </x:c>
      <x:c r="N495" s="54" t="n">
        <x:v>350</x:v>
      </x:c>
      <x:c r="O495" s="54" t="n">
        <x:v>0</x:v>
      </x:c>
    </x:row>
    <x:row r="496">
      <x:c r="A496" s="54" t="n">
        <x:v>492</x:v>
      </x:c>
      <x:c r="B496" s="54" t="n">
        <x:v>4</x:v>
      </x:c>
      <x:c r="C496" s="54" t="n">
        <x:v>7</x:v>
      </x:c>
      <x:c r="D496" s="54" t="n">
        <x:v>0</x:v>
      </x:c>
      <x:c r="E496" s="54" t="n">
        <x:v>68777</x:v>
      </x:c>
      <x:c r="F496" s="54" t="n">
        <x:v>56944</x:v>
      </x:c>
      <x:c r="G496" s="54" t="n">
        <x:v>19421</x:v>
      </x:c>
      <x:c r="H496" s="54" t="n">
        <x:v>14886</x:v>
      </x:c>
      <x:c r="I496" s="54" t="n">
        <x:v>8932</x:v>
      </x:c>
      <x:c r="J496" s="54" t="n">
        <x:v>71</x:v>
      </x:c>
      <x:c r="K496" s="53" t="n">
        <x:v>9.092387</x:v>
      </x:c>
      <x:c r="L496" s="53" t="n">
        <x:v>29.6852</x:v>
      </x:c>
      <x:c r="M496" s="53" t="n">
        <x:v>-95.407</x:v>
      </x:c>
      <x:c r="N496" s="54" t="n">
        <x:v>250</x:v>
      </x:c>
      <x:c r="O496" s="54" t="n">
        <x:v>0</x:v>
      </x:c>
    </x:row>
    <x:row r="497">
      <x:c r="A497" s="54" t="n">
        <x:v>493</x:v>
      </x:c>
      <x:c r="B497" s="54" t="n">
        <x:v>3</x:v>
      </x:c>
      <x:c r="C497" s="54" t="n">
        <x:v>6</x:v>
      </x:c>
      <x:c r="D497" s="54" t="n">
        <x:v>1</x:v>
      </x:c>
      <x:c r="E497" s="54" t="n">
        <x:v>70649</x:v>
      </x:c>
      <x:c r="F497" s="54" t="n">
        <x:v>67439</x:v>
      </x:c>
      <x:c r="G497" s="54" t="n">
        <x:v>10620</x:v>
      </x:c>
      <x:c r="H497" s="54" t="n">
        <x:v>13372</x:v>
      </x:c>
      <x:c r="I497" s="54" t="n">
        <x:v>6017</x:v>
      </x:c>
      <x:c r="J497" s="54" t="n">
        <x:v>121</x:v>
      </x:c>
      <x:c r="K497" s="53" t="n">
        <x:v>10.033037</x:v>
      </x:c>
      <x:c r="L497" s="53" t="n">
        <x:v>32.7506</x:v>
      </x:c>
      <x:c r="M497" s="53" t="n">
        <x:v>-97.0915</x:v>
      </x:c>
      <x:c r="N497" s="54" t="n">
        <x:v>350</x:v>
      </x:c>
      <x:c r="O497" s="54" t="n">
        <x:v>1</x:v>
      </x:c>
    </x:row>
    <x:row r="498">
      <x:c r="A498" s="54" t="n">
        <x:v>494</x:v>
      </x:c>
      <x:c r="B498" s="54" t="n">
        <x:v>9</x:v>
      </x:c>
      <x:c r="C498" s="54" t="n">
        <x:v>17</x:v>
      </x:c>
      <x:c r="D498" s="54" t="n">
        <x:v>2</x:v>
      </x:c>
      <x:c r="E498" s="54" t="n">
        <x:v>68324</x:v>
      </x:c>
      <x:c r="F498" s="54" t="n">
        <x:v>57221</x:v>
      </x:c>
      <x:c r="G498" s="54" t="n">
        <x:v>29965</x:v>
      </x:c>
      <x:c r="H498" s="54" t="n">
        <x:v>27816</x:v>
      </x:c>
      <x:c r="I498" s="54" t="n">
        <x:v>16690</x:v>
      </x:c>
      <x:c r="J498" s="54" t="n">
        <x:v>79</x:v>
      </x:c>
      <x:c r="K498" s="53" t="n">
        <x:v>8.474327</x:v>
      </x:c>
      <x:c r="L498" s="53" t="n">
        <x:v>39.9047</x:v>
      </x:c>
      <x:c r="M498" s="53" t="n">
        <x:v>-75.1736</x:v>
      </x:c>
      <x:c r="N498" s="54" t="n">
        <x:v>250</x:v>
      </x:c>
      <x:c r="O498" s="54" t="n">
        <x:v>1</x:v>
      </x:c>
    </x:row>
    <x:row r="499">
      <x:c r="A499" s="54" t="n">
        <x:v>495</x:v>
      </x:c>
      <x:c r="B499" s="54" t="n">
        <x:v>8</x:v>
      </x:c>
      <x:c r="C499" s="54" t="n">
        <x:v>15</x:v>
      </x:c>
      <x:c r="D499" s="54" t="n">
        <x:v>0</x:v>
      </x:c>
      <x:c r="E499" s="54" t="n">
        <x:v>80663</x:v>
      </x:c>
      <x:c r="F499" s="54" t="n">
        <x:v>64201</x:v>
      </x:c>
      <x:c r="G499" s="54" t="n">
        <x:v>21909</x:v>
      </x:c>
      <x:c r="H499" s="54" t="n">
        <x:v>37019</x:v>
      </x:c>
      <x:c r="I499" s="54" t="n">
        <x:v>20360</x:v>
      </x:c>
      <x:c r="J499" s="54" t="n">
        <x:v>62</x:v>
      </x:c>
      <x:c r="K499" s="53" t="n">
        <x:v>10.438681</x:v>
      </x:c>
      <x:c r="L499" s="53" t="n">
        <x:v>40.807664</x:v>
      </x:c>
      <x:c r="M499" s="53" t="n">
        <x:v>-74.069833</x:v>
      </x:c>
      <x:c r="N499" s="54" t="n">
        <x:v>250</x:v>
      </x:c>
      <x:c r="O499" s="54" t="n">
        <x:v>0</x:v>
      </x:c>
    </x:row>
    <x:row r="500">
      <x:c r="A500" s="54" t="n">
        <x:v>496</x:v>
      </x:c>
      <x:c r="B500" s="54" t="n">
        <x:v>8</x:v>
      </x:c>
      <x:c r="C500" s="54" t="n">
        <x:v>15</x:v>
      </x:c>
      <x:c r="D500" s="54" t="n">
        <x:v>0</x:v>
      </x:c>
      <x:c r="E500" s="54" t="n">
        <x:v>80663</x:v>
      </x:c>
      <x:c r="F500" s="54" t="n">
        <x:v>66401</x:v>
      </x:c>
      <x:c r="G500" s="54" t="n">
        <x:v>20613</x:v>
      </x:c>
      <x:c r="H500" s="54" t="n">
        <x:v>40618</x:v>
      </x:c>
      <x:c r="I500" s="54" t="n">
        <x:v>22340</x:v>
      </x:c>
      <x:c r="J500" s="54" t="n">
        <x:v>73</x:v>
      </x:c>
      <x:c r="K500" s="53" t="n">
        <x:v>10.438681</x:v>
      </x:c>
      <x:c r="L500" s="53" t="n">
        <x:v>40.807664</x:v>
      </x:c>
      <x:c r="M500" s="53" t="n">
        <x:v>-74.069833</x:v>
      </x:c>
      <x:c r="N500" s="54" t="n">
        <x:v>250</x:v>
      </x:c>
      <x:c r="O500" s="54" t="n">
        <x:v>0</x:v>
      </x:c>
    </x:row>
    <x:row r="501">
      <x:c r="A501" s="54" t="n">
        <x:v>497</x:v>
      </x:c>
      <x:c r="B501" s="54" t="n">
        <x:v>9</x:v>
      </x:c>
      <x:c r="C501" s="54" t="n">
        <x:v>17</x:v>
      </x:c>
      <x:c r="D501" s="54" t="n">
        <x:v>0</x:v>
      </x:c>
      <x:c r="E501" s="54" t="n">
        <x:v>68324</x:v>
      </x:c>
      <x:c r="F501" s="54" t="n">
        <x:v>55729</x:v>
      </x:c>
      <x:c r="G501" s="54" t="n">
        <x:v>25265</x:v>
      </x:c>
      <x:c r="H501" s="54" t="n">
        <x:v>21675</x:v>
      </x:c>
      <x:c r="I501" s="54" t="n">
        <x:v>13005</x:v>
      </x:c>
      <x:c r="J501" s="54" t="n">
        <x:v>74</x:v>
      </x:c>
      <x:c r="K501" s="53" t="n">
        <x:v>8.474327</x:v>
      </x:c>
      <x:c r="L501" s="53" t="n">
        <x:v>39.9047</x:v>
      </x:c>
      <x:c r="M501" s="53" t="n">
        <x:v>-75.1736</x:v>
      </x:c>
      <x:c r="N501" s="54" t="n">
        <x:v>250</x:v>
      </x:c>
      <x:c r="O501" s="54" t="n">
        <x:v>0</x:v>
      </x:c>
    </x:row>
    <x:row r="502">
      <x:c r="A502" s="54" t="n">
        <x:v>498</x:v>
      </x:c>
      <x:c r="B502" s="54" t="n">
        <x:v>11</x:v>
      </x:c>
      <x:c r="C502" s="54" t="n">
        <x:v>21</x:v>
      </x:c>
      <x:c r="D502" s="54" t="n">
        <x:v>0</x:v>
      </x:c>
      <x:c r="E502" s="54" t="n">
        <x:v>66925</x:v>
      </x:c>
      <x:c r="F502" s="54" t="n">
        <x:v>50220</x:v>
      </x:c>
      <x:c r="G502" s="54" t="n">
        <x:v>26021</x:v>
      </x:c>
      <x:c r="H502" s="54" t="n">
        <x:v>23072</x:v>
      </x:c>
      <x:c r="I502" s="54" t="n">
        <x:v>12690</x:v>
      </x:c>
      <x:c r="J502" s="54" t="n">
        <x:v>76</x:v>
      </x:c>
      <x:c r="K502" s="53" t="n">
        <x:v>8.408439</x:v>
      </x:c>
      <x:c r="L502" s="53" t="n">
        <x:v>47.5917</x:v>
      </x:c>
      <x:c r="M502" s="53" t="n">
        <x:v>-122.3272</x:v>
      </x:c>
      <x:c r="N502" s="54" t="n">
        <x:v>250</x:v>
      </x:c>
      <x:c r="O502" s="54" t="n">
        <x:v>0</x:v>
      </x:c>
    </x:row>
    <x:row r="503">
      <x:c r="A503" s="54" t="n">
        <x:v>499</x:v>
      </x:c>
      <x:c r="B503" s="54" t="n">
        <x:v>11</x:v>
      </x:c>
      <x:c r="C503" s="54" t="n">
        <x:v>21</x:v>
      </x:c>
      <x:c r="D503" s="54" t="n">
        <x:v>1</x:v>
      </x:c>
      <x:c r="E503" s="54" t="n">
        <x:v>66925</x:v>
      </x:c>
      <x:c r="F503" s="54" t="n">
        <x:v>58220</x:v>
      </x:c>
      <x:c r="G503" s="54" t="n">
        <x:v>33989</x:v>
      </x:c>
      <x:c r="H503" s="54" t="n">
        <x:v>27564</x:v>
      </x:c>
      <x:c r="I503" s="54" t="n">
        <x:v>15160</x:v>
      </x:c>
      <x:c r="J503" s="54" t="n">
        <x:v>64</x:v>
      </x:c>
      <x:c r="K503" s="53" t="n">
        <x:v>8.408439</x:v>
      </x:c>
      <x:c r="L503" s="53" t="n">
        <x:v>47.5917</x:v>
      </x:c>
      <x:c r="M503" s="53" t="n">
        <x:v>-122.3272</x:v>
      </x:c>
      <x:c r="N503" s="54" t="n">
        <x:v>250</x:v>
      </x:c>
      <x:c r="O503" s="54" t="n">
        <x:v>1</x:v>
      </x:c>
    </x:row>
    <x:row r="504">
      <x:c r="A504" s="54" t="n">
        <x:v>500</x:v>
      </x:c>
      <x:c r="B504" s="54" t="n">
        <x:v>4</x:v>
      </x:c>
      <x:c r="C504" s="54" t="n">
        <x:v>7</x:v>
      </x:c>
      <x:c r="D504" s="54" t="n">
        <x:v>1</x:v>
      </x:c>
      <x:c r="E504" s="54" t="n">
        <x:v>68777</x:v>
      </x:c>
      <x:c r="F504" s="54" t="n">
        <x:v>64873</x:v>
      </x:c>
      <x:c r="G504" s="54" t="n">
        <x:v>19060</x:v>
      </x:c>
      <x:c r="H504" s="54" t="n">
        <x:v>20340</x:v>
      </x:c>
      <x:c r="I504" s="54" t="n">
        <x:v>12204</x:v>
      </x:c>
      <x:c r="J504" s="54" t="n">
        <x:v>81</x:v>
      </x:c>
      <x:c r="K504" s="53" t="n">
        <x:v>9.092387</x:v>
      </x:c>
      <x:c r="L504" s="53" t="n">
        <x:v>29.6852</x:v>
      </x:c>
      <x:c r="M504" s="53" t="n">
        <x:v>-95.407</x:v>
      </x:c>
      <x:c r="N504" s="54" t="n">
        <x:v>250</x:v>
      </x:c>
      <x:c r="O504" s="54" t="n">
        <x:v>1</x:v>
      </x:c>
    </x:row>
    <x:row r="505">
      <x:c r="A505" s="54" t="n">
        <x:v>501</x:v>
      </x:c>
      <x:c r="B505" s="54" t="n">
        <x:v>6</x:v>
      </x:c>
      <x:c r="C505" s="54" t="n">
        <x:v>11</x:v>
      </x:c>
      <x:c r="D505" s="54" t="n">
        <x:v>1</x:v>
      </x:c>
      <x:c r="E505" s="54" t="n">
        <x:v>70492</x:v>
      </x:c>
      <x:c r="F505" s="54" t="n">
        <x:v>61991</x:v>
      </x:c>
      <x:c r="G505" s="54" t="n">
        <x:v>30133</x:v>
      </x:c>
      <x:c r="H505" s="54" t="n">
        <x:v>12907</x:v>
      </x:c>
      <x:c r="I505" s="54" t="n">
        <x:v>6454</x:v>
      </x:c>
      <x:c r="J505" s="54" t="n">
        <x:v>118</x:v>
      </x:c>
      <x:c r="K505" s="53" t="n">
        <x:v>9.603284</x:v>
      </x:c>
      <x:c r="L505" s="53" t="n">
        <x:v>33.9509</x:v>
      </x:c>
      <x:c r="M505" s="53" t="n">
        <x:v>-118.3441</x:v>
      </x:c>
      <x:c r="N505" s="54" t="n">
        <x:v>350</x:v>
      </x:c>
      <x:c r="O505" s="54" t="n">
        <x:v>1</x:v>
      </x:c>
    </x:row>
    <x:row r="506">
      <x:c r="A506" s="54" t="n">
        <x:v>502</x:v>
      </x:c>
      <x:c r="B506" s="54" t="n">
        <x:v>4</x:v>
      </x:c>
      <x:c r="C506" s="54" t="n">
        <x:v>7</x:v>
      </x:c>
      <x:c r="D506" s="54" t="n">
        <x:v>5</x:v>
      </x:c>
      <x:c r="E506" s="54" t="n">
        <x:v>68777</x:v>
      </x:c>
      <x:c r="F506" s="54" t="n">
        <x:v>64108</x:v>
      </x:c>
      <x:c r="G506" s="54" t="n">
        <x:v>29707</x:v>
      </x:c>
      <x:c r="H506" s="54" t="n">
        <x:v>23143</x:v>
      </x:c>
      <x:c r="I506" s="54" t="n">
        <x:v>13886</x:v>
      </x:c>
      <x:c r="J506" s="54" t="n">
        <x:v>101</x:v>
      </x:c>
      <x:c r="K506" s="53" t="n">
        <x:v>9.092387</x:v>
      </x:c>
      <x:c r="L506" s="53" t="n">
        <x:v>29.6852</x:v>
      </x:c>
      <x:c r="M506" s="53" t="n">
        <x:v>-95.407</x:v>
      </x:c>
      <x:c r="N506" s="54" t="n">
        <x:v>250</x:v>
      </x:c>
      <x:c r="O506" s="54" t="n">
        <x:v>1</x:v>
      </x:c>
    </x:row>
    <x:row r="507">
      <x:c r="A507" s="54" t="n">
        <x:v>503</x:v>
      </x:c>
      <x:c r="B507" s="54" t="n">
        <x:v>2</x:v>
      </x:c>
      <x:c r="C507" s="54" t="n">
        <x:v>4</x:v>
      </x:c>
      <x:c r="D507" s="54" t="n">
        <x:v>0</x:v>
      </x:c>
      <x:c r="E507" s="54" t="n">
        <x:v>64146</x:v>
      </x:c>
      <x:c r="F507" s="54" t="n">
        <x:v>47038</x:v>
      </x:c>
      <x:c r="G507" s="54" t="n">
        <x:v>7794</x:v>
      </x:c>
      <x:c r="H507" s="54" t="n">
        <x:v>8549</x:v>
      </x:c>
      <x:c r="I507" s="54" t="n">
        <x:v>2992</x:v>
      </x:c>
      <x:c r="J507" s="54" t="n">
        <x:v>92</x:v>
      </x:c>
      <x:c r="K507" s="53" t="n">
        <x:v>8.671598</x:v>
      </x:c>
      <x:c r="L507" s="53" t="n">
        <x:v>42.0916</x:v>
      </x:c>
      <x:c r="M507" s="53" t="n">
        <x:v>-71.2648</x:v>
      </x:c>
      <x:c r="N507" s="54" t="n">
        <x:v>300</x:v>
      </x:c>
      <x:c r="O507" s="54" t="n">
        <x:v>0</x:v>
      </x:c>
    </x:row>
    <x:row r="508">
      <x:c r="A508" s="54" t="n">
        <x:v>504</x:v>
      </x:c>
      <x:c r="B508" s="54" t="n">
        <x:v>8</x:v>
      </x:c>
      <x:c r="C508" s="54" t="n">
        <x:v>15</x:v>
      </x:c>
      <x:c r="D508" s="54" t="n">
        <x:v>0</x:v>
      </x:c>
      <x:c r="E508" s="54" t="n">
        <x:v>80663</x:v>
      </x:c>
      <x:c r="F508" s="54" t="n">
        <x:v>68594</x:v>
      </x:c>
      <x:c r="G508" s="54" t="n">
        <x:v>17255</x:v>
      </x:c>
      <x:c r="H508" s="54" t="n">
        <x:v>34240</x:v>
      </x:c>
      <x:c r="I508" s="54" t="n">
        <x:v>18832</x:v>
      </x:c>
      <x:c r="J508" s="54" t="n">
        <x:v>61</x:v>
      </x:c>
      <x:c r="K508" s="53" t="n">
        <x:v>10.438681</x:v>
      </x:c>
      <x:c r="L508" s="53" t="n">
        <x:v>40.807664</x:v>
      </x:c>
      <x:c r="M508" s="53" t="n">
        <x:v>-74.069833</x:v>
      </x:c>
      <x:c r="N508" s="54" t="n">
        <x:v>250</x:v>
      </x:c>
      <x:c r="O508" s="54" t="n">
        <x:v>0</x:v>
      </x:c>
    </x:row>
    <x:row r="509">
      <x:c r="A509" s="54" t="n">
        <x:v>505</x:v>
      </x:c>
      <x:c r="B509" s="54" t="n">
        <x:v>4</x:v>
      </x:c>
      <x:c r="C509" s="54" t="n">
        <x:v>7</x:v>
      </x:c>
      <x:c r="D509" s="54" t="n">
        <x:v>0</x:v>
      </x:c>
      <x:c r="E509" s="54" t="n">
        <x:v>68777</x:v>
      </x:c>
      <x:c r="F509" s="54" t="n">
        <x:v>57240</x:v>
      </x:c>
      <x:c r="G509" s="54" t="n">
        <x:v>18604</x:v>
      </x:c>
      <x:c r="H509" s="54" t="n">
        <x:v>17611</x:v>
      </x:c>
      <x:c r="I509" s="54" t="n">
        <x:v>10567</x:v>
      </x:c>
      <x:c r="J509" s="54" t="n">
        <x:v>85</x:v>
      </x:c>
      <x:c r="K509" s="53" t="n">
        <x:v>9.092387</x:v>
      </x:c>
      <x:c r="L509" s="53" t="n">
        <x:v>29.6852</x:v>
      </x:c>
      <x:c r="M509" s="53" t="n">
        <x:v>-95.407</x:v>
      </x:c>
      <x:c r="N509" s="54" t="n">
        <x:v>250</x:v>
      </x:c>
      <x:c r="O509" s="54" t="n">
        <x:v>0</x:v>
      </x:c>
    </x:row>
    <x:row r="510">
      <x:c r="A510" s="54" t="n">
        <x:v>506</x:v>
      </x:c>
      <x:c r="B510" s="54" t="n">
        <x:v>6</x:v>
      </x:c>
      <x:c r="C510" s="54" t="n">
        <x:v>11</x:v>
      </x:c>
      <x:c r="D510" s="54" t="n">
        <x:v>4</x:v>
      </x:c>
      <x:c r="E510" s="54" t="n">
        <x:v>70492</x:v>
      </x:c>
      <x:c r="F510" s="54" t="n">
        <x:v>65274</x:v>
      </x:c>
      <x:c r="G510" s="54" t="n">
        <x:v>33289</x:v>
      </x:c>
      <x:c r="H510" s="54" t="n">
        <x:v>12256</x:v>
      </x:c>
      <x:c r="I510" s="54" t="n">
        <x:v>6128</x:v>
      </x:c>
      <x:c r="J510" s="54" t="n">
        <x:v>131</x:v>
      </x:c>
      <x:c r="K510" s="53" t="n">
        <x:v>9.603284</x:v>
      </x:c>
      <x:c r="L510" s="53" t="n">
        <x:v>33.9509</x:v>
      </x:c>
      <x:c r="M510" s="53" t="n">
        <x:v>-118.3441</x:v>
      </x:c>
      <x:c r="N510" s="54" t="n">
        <x:v>350</x:v>
      </x:c>
      <x:c r="O510" s="54" t="n">
        <x:v>1</x:v>
      </x:c>
    </x:row>
    <x:row r="511">
      <x:c r="A511" s="54" t="n">
        <x:v>507</x:v>
      </x:c>
      <x:c r="B511" s="54" t="n">
        <x:v>8</x:v>
      </x:c>
      <x:c r="C511" s="54" t="n">
        <x:v>15</x:v>
      </x:c>
      <x:c r="D511" s="54" t="n">
        <x:v>0</x:v>
      </x:c>
      <x:c r="E511" s="54" t="n">
        <x:v>80663</x:v>
      </x:c>
      <x:c r="F511" s="54" t="n">
        <x:v>68369</x:v>
      </x:c>
      <x:c r="G511" s="54" t="n">
        <x:v>19890</x:v>
      </x:c>
      <x:c r="H511" s="54" t="n">
        <x:v>39888</x:v>
      </x:c>
      <x:c r="I511" s="54" t="n">
        <x:v>21938</x:v>
      </x:c>
      <x:c r="J511" s="54" t="n">
        <x:v>70</x:v>
      </x:c>
      <x:c r="K511" s="53" t="n">
        <x:v>10.438681</x:v>
      </x:c>
      <x:c r="L511" s="53" t="n">
        <x:v>40.807664</x:v>
      </x:c>
      <x:c r="M511" s="53" t="n">
        <x:v>-74.069833</x:v>
      </x:c>
      <x:c r="N511" s="54" t="n">
        <x:v>250</x:v>
      </x:c>
      <x:c r="O511" s="54" t="n">
        <x:v>0</x:v>
      </x:c>
    </x:row>
    <x:row r="512">
      <x:c r="A512" s="54" t="n">
        <x:v>508</x:v>
      </x:c>
      <x:c r="B512" s="54" t="n">
        <x:v>3</x:v>
      </x:c>
      <x:c r="C512" s="54" t="n">
        <x:v>6</x:v>
      </x:c>
      <x:c r="D512" s="54" t="n">
        <x:v>1</x:v>
      </x:c>
      <x:c r="E512" s="54" t="n">
        <x:v>70649</x:v>
      </x:c>
      <x:c r="F512" s="54" t="n">
        <x:v>60772</x:v>
      </x:c>
      <x:c r="G512" s="54" t="n">
        <x:v>6018</x:v>
      </x:c>
      <x:c r="H512" s="54" t="n">
        <x:v>9610</x:v>
      </x:c>
      <x:c r="I512" s="54" t="n">
        <x:v>4325</x:v>
      </x:c>
      <x:c r="J512" s="54" t="n">
        <x:v>133</x:v>
      </x:c>
      <x:c r="K512" s="53" t="n">
        <x:v>10.033037</x:v>
      </x:c>
      <x:c r="L512" s="53" t="n">
        <x:v>32.7506</x:v>
      </x:c>
      <x:c r="M512" s="53" t="n">
        <x:v>-97.0915</x:v>
      </x:c>
      <x:c r="N512" s="54" t="n">
        <x:v>350</x:v>
      </x:c>
      <x:c r="O512" s="54" t="n">
        <x:v>0</x:v>
      </x:c>
    </x:row>
    <x:row r="513">
      <x:c r="A513" s="54" t="n">
        <x:v>509</x:v>
      </x:c>
      <x:c r="B513" s="54" t="n">
        <x:v>7</x:v>
      </x:c>
      <x:c r="C513" s="54" t="n">
        <x:v>14</x:v>
      </x:c>
      <x:c r="D513" s="54" t="n">
        <x:v>1</x:v>
      </x:c>
      <x:c r="E513" s="54" t="n">
        <x:v>64478</x:v>
      </x:c>
      <x:c r="F513" s="54" t="n">
        <x:v>53621</x:v>
      </x:c>
      <x:c r="G513" s="54" t="n">
        <x:v>10785</x:v>
      </x:c>
      <x:c r="H513" s="54" t="n">
        <x:v>8973</x:v>
      </x:c>
      <x:c r="I513" s="54" t="n">
        <x:v>4038</x:v>
      </x:c>
      <x:c r="J513" s="54" t="n">
        <x:v>131</x:v>
      </x:c>
      <x:c r="K513" s="53" t="n">
        <x:v>8.69743</x:v>
      </x:c>
      <x:c r="L513" s="53" t="n">
        <x:v>25.9549</x:v>
      </x:c>
      <x:c r="M513" s="53" t="n">
        <x:v>-80.2383</x:v>
      </x:c>
      <x:c r="N513" s="54" t="n">
        <x:v>350</x:v>
      </x:c>
      <x:c r="O513" s="54" t="n">
        <x:v>0</x:v>
      </x:c>
    </x:row>
    <x:row r="514">
      <x:c r="A514" s="54" t="n">
        <x:v>510</x:v>
      </x:c>
      <x:c r="B514" s="54" t="n">
        <x:v>6</x:v>
      </x:c>
      <x:c r="C514" s="54" t="n">
        <x:v>11</x:v>
      </x:c>
      <x:c r="D514" s="54" t="n">
        <x:v>1</x:v>
      </x:c>
      <x:c r="E514" s="54" t="n">
        <x:v>70492</x:v>
      </x:c>
      <x:c r="F514" s="54" t="n">
        <x:v>59053</x:v>
      </x:c>
      <x:c r="G514" s="54" t="n">
        <x:v>21328</x:v>
      </x:c>
      <x:c r="H514" s="54" t="n">
        <x:v>13119</x:v>
      </x:c>
      <x:c r="I514" s="54" t="n">
        <x:v>6560</x:v>
      </x:c>
      <x:c r="J514" s="54" t="n">
        <x:v>97</x:v>
      </x:c>
      <x:c r="K514" s="53" t="n">
        <x:v>9.603284</x:v>
      </x:c>
      <x:c r="L514" s="53" t="n">
        <x:v>33.9509</x:v>
      </x:c>
      <x:c r="M514" s="53" t="n">
        <x:v>-118.3441</x:v>
      </x:c>
      <x:c r="N514" s="54" t="n">
        <x:v>350</x:v>
      </x:c>
      <x:c r="O514" s="54" t="n">
        <x:v>0</x:v>
      </x:c>
    </x:row>
    <x:row r="515">
      <x:c r="A515" s="54" t="n">
        <x:v>511</x:v>
      </x:c>
      <x:c r="B515" s="54" t="n">
        <x:v>1</x:v>
      </x:c>
      <x:c r="C515" s="54" t="n">
        <x:v>1</x:v>
      </x:c>
      <x:c r="D515" s="54" t="n">
        <x:v>0</x:v>
      </x:c>
      <x:c r="E515" s="54" t="n">
        <x:v>68239</x:v>
      </x:c>
      <x:c r="F515" s="54" t="n">
        <x:v>59182</x:v>
      </x:c>
      <x:c r="G515" s="54" t="n">
        <x:v>28588</x:v>
      </x:c>
      <x:c r="H515" s="54" t="n">
        <x:v>28817</x:v>
      </x:c>
      <x:c r="I515" s="54" t="n">
        <x:v>16714</x:v>
      </x:c>
      <x:c r="J515" s="54" t="n">
        <x:v>84</x:v>
      </x:c>
      <x:c r="K515" s="53" t="n">
        <x:v>9.391018</x:v>
      </x:c>
      <x:c r="L515" s="53" t="n">
        <x:v>33.7565</x:v>
      </x:c>
      <x:c r="M515" s="53" t="n">
        <x:v>-84.4038</x:v>
      </x:c>
      <x:c r="N515" s="54" t="n">
        <x:v>250</x:v>
      </x:c>
      <x:c r="O515" s="54" t="n">
        <x:v>1</x:v>
      </x:c>
    </x:row>
    <x:row r="516">
      <x:c r="A516" s="54" t="n">
        <x:v>512</x:v>
      </x:c>
      <x:c r="B516" s="54" t="n">
        <x:v>6</x:v>
      </x:c>
      <x:c r="C516" s="54" t="n">
        <x:v>11</x:v>
      </x:c>
      <x:c r="D516" s="54" t="n">
        <x:v>2</x:v>
      </x:c>
      <x:c r="E516" s="54" t="n">
        <x:v>70492</x:v>
      </x:c>
      <x:c r="F516" s="54" t="n">
        <x:v>69029</x:v>
      </x:c>
      <x:c r="G516" s="54" t="n">
        <x:v>29370</x:v>
      </x:c>
      <x:c r="H516" s="54" t="n">
        <x:v>20105</x:v>
      </x:c>
      <x:c r="I516" s="54" t="n">
        <x:v>10053</x:v>
      </x:c>
      <x:c r="J516" s="54" t="n">
        <x:v>118</x:v>
      </x:c>
      <x:c r="K516" s="53" t="n">
        <x:v>9.603284</x:v>
      </x:c>
      <x:c r="L516" s="53" t="n">
        <x:v>33.9509</x:v>
      </x:c>
      <x:c r="M516" s="53" t="n">
        <x:v>-118.3441</x:v>
      </x:c>
      <x:c r="N516" s="54" t="n">
        <x:v>350</x:v>
      </x:c>
      <x:c r="O516" s="54" t="n">
        <x:v>1</x:v>
      </x:c>
    </x:row>
    <x:row r="517">
      <x:c r="A517" s="54" t="n">
        <x:v>513</x:v>
      </x:c>
      <x:c r="B517" s="54" t="n">
        <x:v>7</x:v>
      </x:c>
      <x:c r="C517" s="54" t="n">
        <x:v>14</x:v>
      </x:c>
      <x:c r="D517" s="54" t="n">
        <x:v>0</x:v>
      </x:c>
      <x:c r="E517" s="54" t="n">
        <x:v>64478</x:v>
      </x:c>
      <x:c r="F517" s="54" t="n">
        <x:v>56581</x:v>
      </x:c>
      <x:c r="G517" s="54" t="n">
        <x:v>13615</x:v>
      </x:c>
      <x:c r="H517" s="54" t="n">
        <x:v>13459</x:v>
      </x:c>
      <x:c r="I517" s="54" t="n">
        <x:v>6057</x:v>
      </x:c>
      <x:c r="J517" s="54" t="n">
        <x:v>133</x:v>
      </x:c>
      <x:c r="K517" s="53" t="n">
        <x:v>8.69743</x:v>
      </x:c>
      <x:c r="L517" s="53" t="n">
        <x:v>25.9549</x:v>
      </x:c>
      <x:c r="M517" s="53" t="n">
        <x:v>-80.2383</x:v>
      </x:c>
      <x:c r="N517" s="54" t="n">
        <x:v>350</x:v>
      </x:c>
      <x:c r="O517" s="54" t="n">
        <x:v>1</x:v>
      </x:c>
    </x:row>
    <x:row r="518">
      <x:c r="A518" s="54" t="n">
        <x:v>514</x:v>
      </x:c>
      <x:c r="B518" s="54" t="n">
        <x:v>2</x:v>
      </x:c>
      <x:c r="C518" s="54" t="n">
        <x:v>4</x:v>
      </x:c>
      <x:c r="D518" s="54" t="n">
        <x:v>0</x:v>
      </x:c>
      <x:c r="E518" s="54" t="n">
        <x:v>64146</x:v>
      </x:c>
      <x:c r="F518" s="54" t="n">
        <x:v>54334</x:v>
      </x:c>
      <x:c r="G518" s="54" t="n">
        <x:v>13093</x:v>
      </x:c>
      <x:c r="H518" s="54" t="n">
        <x:v>8090</x:v>
      </x:c>
      <x:c r="I518" s="54" t="n">
        <x:v>2832</x:v>
      </x:c>
      <x:c r="J518" s="54" t="n">
        <x:v>98</x:v>
      </x:c>
      <x:c r="K518" s="53" t="n">
        <x:v>8.671598</x:v>
      </x:c>
      <x:c r="L518" s="53" t="n">
        <x:v>42.0916</x:v>
      </x:c>
      <x:c r="M518" s="53" t="n">
        <x:v>-71.2648</x:v>
      </x:c>
      <x:c r="N518" s="54" t="n">
        <x:v>300</x:v>
      </x:c>
      <x:c r="O518" s="54" t="n">
        <x:v>0</x:v>
      </x:c>
    </x:row>
    <x:row r="519">
      <x:c r="A519" s="54" t="n">
        <x:v>515</x:v>
      </x:c>
      <x:c r="B519" s="54" t="n">
        <x:v>9</x:v>
      </x:c>
      <x:c r="C519" s="54" t="n">
        <x:v>17</x:v>
      </x:c>
      <x:c r="D519" s="54" t="n">
        <x:v>0</x:v>
      </x:c>
      <x:c r="E519" s="54" t="n">
        <x:v>68324</x:v>
      </x:c>
      <x:c r="F519" s="54" t="n">
        <x:v>57531</x:v>
      </x:c>
      <x:c r="G519" s="54" t="n">
        <x:v>24537</x:v>
      </x:c>
      <x:c r="H519" s="54" t="n">
        <x:v>25871</x:v>
      </x:c>
      <x:c r="I519" s="54" t="n">
        <x:v>15523</x:v>
      </x:c>
      <x:c r="J519" s="54" t="n">
        <x:v>81</x:v>
      </x:c>
      <x:c r="K519" s="53" t="n">
        <x:v>8.474327</x:v>
      </x:c>
      <x:c r="L519" s="53" t="n">
        <x:v>39.9047</x:v>
      </x:c>
      <x:c r="M519" s="53" t="n">
        <x:v>-75.1736</x:v>
      </x:c>
      <x:c r="N519" s="54" t="n">
        <x:v>250</x:v>
      </x:c>
      <x:c r="O519" s="54" t="n">
        <x:v>1</x:v>
      </x:c>
    </x:row>
    <x:row r="520">
      <x:c r="A520" s="54" t="n">
        <x:v>516</x:v>
      </x:c>
      <x:c r="B520" s="54" t="n">
        <x:v>3</x:v>
      </x:c>
      <x:c r="C520" s="54" t="n">
        <x:v>6</x:v>
      </x:c>
      <x:c r="D520" s="54" t="n">
        <x:v>0</x:v>
      </x:c>
      <x:c r="E520" s="54" t="n">
        <x:v>70649</x:v>
      </x:c>
      <x:c r="F520" s="54" t="n">
        <x:v>64606</x:v>
      </x:c>
      <x:c r="G520" s="54" t="n">
        <x:v>14246</x:v>
      </x:c>
      <x:c r="H520" s="54" t="n">
        <x:v>8953</x:v>
      </x:c>
      <x:c r="I520" s="54" t="n">
        <x:v>4029</x:v>
      </x:c>
      <x:c r="J520" s="54" t="n">
        <x:v>114</x:v>
      </x:c>
      <x:c r="K520" s="53" t="n">
        <x:v>10.033037</x:v>
      </x:c>
      <x:c r="L520" s="53" t="n">
        <x:v>32.7506</x:v>
      </x:c>
      <x:c r="M520" s="53" t="n">
        <x:v>-97.0915</x:v>
      </x:c>
      <x:c r="N520" s="54" t="n">
        <x:v>350</x:v>
      </x:c>
      <x:c r="O520" s="54" t="n">
        <x:v>0</x:v>
      </x:c>
    </x:row>
    <x:row r="521">
      <x:c r="A521" s="54" t="n">
        <x:v>517</x:v>
      </x:c>
      <x:c r="B521" s="54" t="n">
        <x:v>5</x:v>
      </x:c>
      <x:c r="C521" s="54" t="n">
        <x:v>10</x:v>
      </x:c>
      <x:c r="D521" s="54" t="n">
        <x:v>3</x:v>
      </x:c>
      <x:c r="E521" s="54" t="n">
        <x:v>69045</x:v>
      </x:c>
      <x:c r="F521" s="54" t="n">
        <x:v>59786</x:v>
      </x:c>
      <x:c r="G521" s="54" t="n">
        <x:v>6254</x:v>
      </x:c>
      <x:c r="H521" s="54" t="n">
        <x:v>12613</x:v>
      </x:c>
      <x:c r="I521" s="54" t="n">
        <x:v>5676</x:v>
      </x:c>
      <x:c r="J521" s="54" t="n">
        <x:v>115</x:v>
      </x:c>
      <x:c r="K521" s="53" t="n">
        <x:v>8.632123</x:v>
      </x:c>
      <x:c r="L521" s="53" t="n">
        <x:v>39.0491</x:v>
      </x:c>
      <x:c r="M521" s="53" t="n">
        <x:v>-94.4871</x:v>
      </x:c>
      <x:c r="N521" s="54" t="n">
        <x:v>400</x:v>
      </x:c>
      <x:c r="O521" s="54" t="n">
        <x:v>0</x:v>
      </x:c>
    </x:row>
    <x:row r="522">
      <x:c r="A522" s="54" t="n">
        <x:v>518</x:v>
      </x:c>
      <x:c r="B522" s="54" t="n">
        <x:v>8</x:v>
      </x:c>
      <x:c r="C522" s="54" t="n">
        <x:v>15</x:v>
      </x:c>
      <x:c r="D522" s="54" t="n">
        <x:v>0</x:v>
      </x:c>
      <x:c r="E522" s="54" t="n">
        <x:v>80663</x:v>
      </x:c>
      <x:c r="F522" s="54" t="n">
        <x:v>64672</x:v>
      </x:c>
      <x:c r="G522" s="54" t="n">
        <x:v>20963</x:v>
      </x:c>
      <x:c r="H522" s="54" t="n">
        <x:v>39701</x:v>
      </x:c>
      <x:c r="I522" s="54" t="n">
        <x:v>21836</x:v>
      </x:c>
      <x:c r="J522" s="54" t="n">
        <x:v>82</x:v>
      </x:c>
      <x:c r="K522" s="53" t="n">
        <x:v>10.438681</x:v>
      </x:c>
      <x:c r="L522" s="53" t="n">
        <x:v>40.807664</x:v>
      </x:c>
      <x:c r="M522" s="53" t="n">
        <x:v>-74.069833</x:v>
      </x:c>
      <x:c r="N522" s="54" t="n">
        <x:v>250</x:v>
      </x:c>
      <x:c r="O522" s="54" t="n">
        <x:v>0</x:v>
      </x:c>
    </x:row>
    <x:row r="523">
      <x:c r="A523" s="54" t="n">
        <x:v>519</x:v>
      </x:c>
      <x:c r="B523" s="54" t="n">
        <x:v>5</x:v>
      </x:c>
      <x:c r="C523" s="54" t="n">
        <x:v>10</x:v>
      </x:c>
      <x:c r="D523" s="54" t="n">
        <x:v>0</x:v>
      </x:c>
      <x:c r="E523" s="54" t="n">
        <x:v>69045</x:v>
      </x:c>
      <x:c r="F523" s="54" t="n">
        <x:v>54729</x:v>
      </x:c>
      <x:c r="G523" s="54" t="n">
        <x:v>3340</x:v>
      </x:c>
      <x:c r="H523" s="54" t="n">
        <x:v>7863</x:v>
      </x:c>
      <x:c r="I523" s="54" t="n">
        <x:v>3538</x:v>
      </x:c>
      <x:c r="J523" s="54" t="n">
        <x:v>115</x:v>
      </x:c>
      <x:c r="K523" s="53" t="n">
        <x:v>8.632123</x:v>
      </x:c>
      <x:c r="L523" s="53" t="n">
        <x:v>39.0491</x:v>
      </x:c>
      <x:c r="M523" s="53" t="n">
        <x:v>-94.4871</x:v>
      </x:c>
      <x:c r="N523" s="54" t="n">
        <x:v>400</x:v>
      </x:c>
      <x:c r="O523" s="54" t="n">
        <x:v>0</x:v>
      </x:c>
    </x:row>
    <x:row r="524">
      <x:c r="A524" s="54" t="n">
        <x:v>520</x:v>
      </x:c>
      <x:c r="B524" s="54" t="n">
        <x:v>1</x:v>
      </x:c>
      <x:c r="C524" s="54" t="n">
        <x:v>1</x:v>
      </x:c>
      <x:c r="D524" s="54" t="n">
        <x:v>5</x:v>
      </x:c>
      <x:c r="E524" s="54" t="n">
        <x:v>68239</x:v>
      </x:c>
      <x:c r="F524" s="54" t="n">
        <x:v>68103</x:v>
      </x:c>
      <x:c r="G524" s="54" t="n">
        <x:v>40171</x:v>
      </x:c>
      <x:c r="H524" s="54" t="n">
        <x:v>31262</x:v>
      </x:c>
      <x:c r="I524" s="54" t="n">
        <x:v>18132</x:v>
      </x:c>
      <x:c r="J524" s="54" t="n">
        <x:v>74</x:v>
      </x:c>
      <x:c r="K524" s="53" t="n">
        <x:v>9.391018</x:v>
      </x:c>
      <x:c r="L524" s="53" t="n">
        <x:v>33.7565</x:v>
      </x:c>
      <x:c r="M524" s="53" t="n">
        <x:v>-84.4038</x:v>
      </x:c>
      <x:c r="N524" s="54" t="n">
        <x:v>250</x:v>
      </x:c>
      <x:c r="O524" s="54" t="n">
        <x:v>1</x:v>
      </x:c>
    </x:row>
    <x:row r="525">
      <x:c r="A525" s="54" t="n">
        <x:v>521</x:v>
      </x:c>
      <x:c r="B525" s="54" t="n">
        <x:v>10</x:v>
      </x:c>
      <x:c r="C525" s="54" t="n">
        <x:v>19</x:v>
      </x:c>
      <x:c r="D525" s="54" t="n">
        <x:v>0</x:v>
      </x:c>
      <x:c r="E525" s="54" t="n">
        <x:v>68827</x:v>
      </x:c>
      <x:c r="F525" s="54" t="n">
        <x:v>57142</x:v>
      </x:c>
      <x:c r="G525" s="54" t="n">
        <x:v>34367</x:v>
      </x:c>
      <x:c r="H525" s="54" t="n">
        <x:v>24767</x:v>
      </x:c>
      <x:c r="I525" s="54" t="n">
        <x:v>16099</x:v>
      </x:c>
      <x:c r="J525" s="54" t="n">
        <x:v>89</x:v>
      </x:c>
      <x:c r="K525" s="53" t="n">
        <x:v>8.807888</x:v>
      </x:c>
      <x:c r="L525" s="53" t="n">
        <x:v>37.403468</x:v>
      </x:c>
      <x:c r="M525" s="53" t="n">
        <x:v>-121.974908</x:v>
      </x:c>
      <x:c r="N525" s="54" t="n">
        <x:v>250</x:v>
      </x:c>
      <x:c r="O525" s="54" t="n">
        <x:v>1</x:v>
      </x:c>
    </x:row>
    <x:row r="526">
      <x:c r="A526" s="54" t="n">
        <x:v>522</x:v>
      </x:c>
      <x:c r="B526" s="54" t="n">
        <x:v>8</x:v>
      </x:c>
      <x:c r="C526" s="54" t="n">
        <x:v>15</x:v>
      </x:c>
      <x:c r="D526" s="54" t="n">
        <x:v>0</x:v>
      </x:c>
      <x:c r="E526" s="54" t="n">
        <x:v>80663</x:v>
      </x:c>
      <x:c r="F526" s="54" t="n">
        <x:v>66427</x:v>
      </x:c>
      <x:c r="G526" s="54" t="n">
        <x:v>18860</x:v>
      </x:c>
      <x:c r="H526" s="54" t="n">
        <x:v>47854</x:v>
      </x:c>
      <x:c r="I526" s="54" t="n">
        <x:v>26320</x:v>
      </x:c>
      <x:c r="J526" s="54" t="n">
        <x:v>57</x:v>
      </x:c>
      <x:c r="K526" s="53" t="n">
        <x:v>10.438681</x:v>
      </x:c>
      <x:c r="L526" s="53" t="n">
        <x:v>40.807664</x:v>
      </x:c>
      <x:c r="M526" s="53" t="n">
        <x:v>-74.069833</x:v>
      </x:c>
      <x:c r="N526" s="54" t="n">
        <x:v>250</x:v>
      </x:c>
      <x:c r="O526" s="54" t="n">
        <x:v>0</x:v>
      </x:c>
    </x:row>
    <x:row r="527">
      <x:c r="A527" s="54" t="n">
        <x:v>523</x:v>
      </x:c>
      <x:c r="B527" s="54" t="n">
        <x:v>7</x:v>
      </x:c>
      <x:c r="C527" s="54" t="n">
        <x:v>14</x:v>
      </x:c>
      <x:c r="D527" s="54" t="n">
        <x:v>0</x:v>
      </x:c>
      <x:c r="E527" s="54" t="n">
        <x:v>64478</x:v>
      </x:c>
      <x:c r="F527" s="54" t="n">
        <x:v>54948</x:v>
      </x:c>
      <x:c r="G527" s="54" t="n">
        <x:v>11874</x:v>
      </x:c>
      <x:c r="H527" s="54" t="n">
        <x:v>9784</x:v>
      </x:c>
      <x:c r="I527" s="54" t="n">
        <x:v>4403</x:v>
      </x:c>
      <x:c r="J527" s="54" t="n">
        <x:v>128</x:v>
      </x:c>
      <x:c r="K527" s="53" t="n">
        <x:v>8.69743</x:v>
      </x:c>
      <x:c r="L527" s="53" t="n">
        <x:v>25.9549</x:v>
      </x:c>
      <x:c r="M527" s="53" t="n">
        <x:v>-80.2383</x:v>
      </x:c>
      <x:c r="N527" s="54" t="n">
        <x:v>350</x:v>
      </x:c>
      <x:c r="O527" s="54" t="n">
        <x:v>0</x:v>
      </x:c>
    </x:row>
    <x:row r="528">
      <x:c r="A528" s="54" t="n">
        <x:v>524</x:v>
      </x:c>
      <x:c r="B528" s="54" t="n">
        <x:v>8</x:v>
      </x:c>
      <x:c r="C528" s="54" t="n">
        <x:v>15</x:v>
      </x:c>
      <x:c r="D528" s="54" t="n">
        <x:v>2</x:v>
      </x:c>
      <x:c r="E528" s="54" t="n">
        <x:v>80663</x:v>
      </x:c>
      <x:c r="F528" s="54" t="n">
        <x:v>65567</x:v>
      </x:c>
      <x:c r="G528" s="54" t="n">
        <x:v>25145</x:v>
      </x:c>
      <x:c r="H528" s="54" t="n">
        <x:v>35095</x:v>
      </x:c>
      <x:c r="I528" s="54" t="n">
        <x:v>19302</x:v>
      </x:c>
      <x:c r="J528" s="54" t="n">
        <x:v>60</x:v>
      </x:c>
      <x:c r="K528" s="53" t="n">
        <x:v>10.438681</x:v>
      </x:c>
      <x:c r="L528" s="53" t="n">
        <x:v>40.807664</x:v>
      </x:c>
      <x:c r="M528" s="53" t="n">
        <x:v>-74.069833</x:v>
      </x:c>
      <x:c r="N528" s="54" t="n">
        <x:v>250</x:v>
      </x:c>
      <x:c r="O528" s="54" t="n">
        <x:v>0</x:v>
      </x:c>
    </x:row>
    <x:row r="529">
      <x:c r="A529" s="54" t="n">
        <x:v>525</x:v>
      </x:c>
      <x:c r="B529" s="54" t="n">
        <x:v>10</x:v>
      </x:c>
      <x:c r="C529" s="54" t="n">
        <x:v>19</x:v>
      </x:c>
      <x:c r="D529" s="54" t="n">
        <x:v>1</x:v>
      </x:c>
      <x:c r="E529" s="54" t="n">
        <x:v>68827</x:v>
      </x:c>
      <x:c r="F529" s="54" t="n">
        <x:v>60233</x:v>
      </x:c>
      <x:c r="G529" s="54" t="n">
        <x:v>34792</x:v>
      </x:c>
      <x:c r="H529" s="54" t="n">
        <x:v>21163</x:v>
      </x:c>
      <x:c r="I529" s="54" t="n">
        <x:v>13756</x:v>
      </x:c>
      <x:c r="J529" s="54" t="n">
        <x:v>97</x:v>
      </x:c>
      <x:c r="K529" s="53" t="n">
        <x:v>8.807888</x:v>
      </x:c>
      <x:c r="L529" s="53" t="n">
        <x:v>37.403468</x:v>
      </x:c>
      <x:c r="M529" s="53" t="n">
        <x:v>-121.974908</x:v>
      </x:c>
      <x:c r="N529" s="54" t="n">
        <x:v>250</x:v>
      </x:c>
      <x:c r="O529" s="54" t="n">
        <x:v>1</x:v>
      </x:c>
    </x:row>
    <x:row r="530">
      <x:c r="A530" s="54" t="n">
        <x:v>526</x:v>
      </x:c>
      <x:c r="B530" s="54" t="n">
        <x:v>2</x:v>
      </x:c>
      <x:c r="C530" s="54" t="n">
        <x:v>4</x:v>
      </x:c>
      <x:c r="D530" s="54" t="n">
        <x:v>1</x:v>
      </x:c>
      <x:c r="E530" s="54" t="n">
        <x:v>64146</x:v>
      </x:c>
      <x:c r="F530" s="54" t="n">
        <x:v>57219</x:v>
      </x:c>
      <x:c r="G530" s="54" t="n">
        <x:v>10926</x:v>
      </x:c>
      <x:c r="H530" s="54" t="n">
        <x:v>14472</x:v>
      </x:c>
      <x:c r="I530" s="54" t="n">
        <x:v>5065</x:v>
      </x:c>
      <x:c r="J530" s="54" t="n">
        <x:v>100</x:v>
      </x:c>
      <x:c r="K530" s="53" t="n">
        <x:v>8.671598</x:v>
      </x:c>
      <x:c r="L530" s="53" t="n">
        <x:v>42.0916</x:v>
      </x:c>
      <x:c r="M530" s="53" t="n">
        <x:v>-71.2648</x:v>
      </x:c>
      <x:c r="N530" s="54" t="n">
        <x:v>300</x:v>
      </x:c>
      <x:c r="O530" s="54" t="n">
        <x:v>0</x:v>
      </x:c>
    </x:row>
    <x:row r="531">
      <x:c r="A531" s="54" t="n">
        <x:v>527</x:v>
      </x:c>
      <x:c r="B531" s="54" t="n">
        <x:v>8</x:v>
      </x:c>
      <x:c r="C531" s="54" t="n">
        <x:v>15</x:v>
      </x:c>
      <x:c r="D531" s="54" t="n">
        <x:v>0</x:v>
      </x:c>
      <x:c r="E531" s="54" t="n">
        <x:v>80663</x:v>
      </x:c>
      <x:c r="F531" s="54" t="n">
        <x:v>74457</x:v>
      </x:c>
      <x:c r="G531" s="54" t="n">
        <x:v>23602</x:v>
      </x:c>
      <x:c r="H531" s="54" t="n">
        <x:v>46282</x:v>
      </x:c>
      <x:c r="I531" s="54" t="n">
        <x:v>25455</x:v>
      </x:c>
      <x:c r="J531" s="54" t="n">
        <x:v>81</x:v>
      </x:c>
      <x:c r="K531" s="53" t="n">
        <x:v>10.438681</x:v>
      </x:c>
      <x:c r="L531" s="53" t="n">
        <x:v>40.807664</x:v>
      </x:c>
      <x:c r="M531" s="53" t="n">
        <x:v>-74.069833</x:v>
      </x:c>
      <x:c r="N531" s="54" t="n">
        <x:v>250</x:v>
      </x:c>
      <x:c r="O531" s="54" t="n">
        <x:v>1</x:v>
      </x:c>
    </x:row>
    <x:row r="532">
      <x:c r="A532" s="54" t="n">
        <x:v>528</x:v>
      </x:c>
      <x:c r="B532" s="54" t="n">
        <x:v>9</x:v>
      </x:c>
      <x:c r="C532" s="54" t="n">
        <x:v>17</x:v>
      </x:c>
      <x:c r="D532" s="54" t="n">
        <x:v>0</x:v>
      </x:c>
      <x:c r="E532" s="54" t="n">
        <x:v>68324</x:v>
      </x:c>
      <x:c r="F532" s="54" t="n">
        <x:v>59752</x:v>
      </x:c>
      <x:c r="G532" s="54" t="n">
        <x:v>26839</x:v>
      </x:c>
      <x:c r="H532" s="54" t="n">
        <x:v>28971</x:v>
      </x:c>
      <x:c r="I532" s="54" t="n">
        <x:v>17383</x:v>
      </x:c>
      <x:c r="J532" s="54" t="n">
        <x:v>94</x:v>
      </x:c>
      <x:c r="K532" s="53" t="n">
        <x:v>8.474327</x:v>
      </x:c>
      <x:c r="L532" s="53" t="n">
        <x:v>39.9047</x:v>
      </x:c>
      <x:c r="M532" s="53" t="n">
        <x:v>-75.1736</x:v>
      </x:c>
      <x:c r="N532" s="54" t="n">
        <x:v>250</x:v>
      </x:c>
      <x:c r="O532" s="54" t="n">
        <x:v>1</x:v>
      </x:c>
    </x:row>
    <x:row r="533">
      <x:c r="A533" s="54" t="n">
        <x:v>529</x:v>
      </x:c>
      <x:c r="B533" s="54" t="n">
        <x:v>9</x:v>
      </x:c>
      <x:c r="C533" s="54" t="n">
        <x:v>17</x:v>
      </x:c>
      <x:c r="D533" s="54" t="n">
        <x:v>0</x:v>
      </x:c>
      <x:c r="E533" s="54" t="n">
        <x:v>68324</x:v>
      </x:c>
      <x:c r="F533" s="54" t="n">
        <x:v>58384</x:v>
      </x:c>
      <x:c r="G533" s="54" t="n">
        <x:v>30545</x:v>
      </x:c>
      <x:c r="H533" s="54" t="n">
        <x:v>27706</x:v>
      </x:c>
      <x:c r="I533" s="54" t="n">
        <x:v>16624</x:v>
      </x:c>
      <x:c r="J533" s="54" t="n">
        <x:v>86</x:v>
      </x:c>
      <x:c r="K533" s="53" t="n">
        <x:v>8.474327</x:v>
      </x:c>
      <x:c r="L533" s="53" t="n">
        <x:v>39.9047</x:v>
      </x:c>
      <x:c r="M533" s="53" t="n">
        <x:v>-75.1736</x:v>
      </x:c>
      <x:c r="N533" s="54" t="n">
        <x:v>250</x:v>
      </x:c>
      <x:c r="O533" s="54" t="n">
        <x:v>1</x:v>
      </x:c>
    </x:row>
    <x:row r="534">
      <x:c r="A534" s="54" t="n">
        <x:v>530</x:v>
      </x:c>
      <x:c r="B534" s="54" t="n">
        <x:v>7</x:v>
      </x:c>
      <x:c r="C534" s="54" t="n">
        <x:v>14</x:v>
      </x:c>
      <x:c r="D534" s="54" t="n">
        <x:v>1</x:v>
      </x:c>
      <x:c r="E534" s="54" t="n">
        <x:v>64478</x:v>
      </x:c>
      <x:c r="F534" s="54" t="n">
        <x:v>54526</x:v>
      </x:c>
      <x:c r="G534" s="54" t="n">
        <x:v>11376</x:v>
      </x:c>
      <x:c r="H534" s="54" t="n">
        <x:v>11472</x:v>
      </x:c>
      <x:c r="I534" s="54" t="n">
        <x:v>5162</x:v>
      </x:c>
      <x:c r="J534" s="54" t="n">
        <x:v>115</x:v>
      </x:c>
      <x:c r="K534" s="53" t="n">
        <x:v>8.69743</x:v>
      </x:c>
      <x:c r="L534" s="53" t="n">
        <x:v>25.9549</x:v>
      </x:c>
      <x:c r="M534" s="53" t="n">
        <x:v>-80.2383</x:v>
      </x:c>
      <x:c r="N534" s="54" t="n">
        <x:v>350</x:v>
      </x:c>
      <x:c r="O534" s="54" t="n">
        <x:v>0</x:v>
      </x:c>
    </x:row>
    <x:row r="535">
      <x:c r="A535" s="54" t="n">
        <x:v>531</x:v>
      </x:c>
      <x:c r="B535" s="54" t="n">
        <x:v>3</x:v>
      </x:c>
      <x:c r="C535" s="54" t="n">
        <x:v>5</x:v>
      </x:c>
      <x:c r="D535" s="54" t="n">
        <x:v>2</x:v>
      </x:c>
      <x:c r="E535" s="54" t="n">
        <x:v>70649</x:v>
      </x:c>
      <x:c r="F535" s="54" t="n">
        <x:v>70508</x:v>
      </x:c>
      <x:c r="G535" s="54" t="n">
        <x:v>19226</x:v>
      </x:c>
      <x:c r="H535" s="54" t="n">
        <x:v>15134</x:v>
      </x:c>
      <x:c r="I535" s="54" t="n">
        <x:v>8324</x:v>
      </x:c>
      <x:c r="J535" s="54" t="n">
        <x:v>114</x:v>
      </x:c>
      <x:c r="K535" s="53" t="n">
        <x:v>10.033037</x:v>
      </x:c>
      <x:c r="L535" s="53" t="n">
        <x:v>32.7479</x:v>
      </x:c>
      <x:c r="M535" s="53" t="n">
        <x:v>-97.0909</x:v>
      </x:c>
      <x:c r="N535" s="54" t="n">
        <x:v>300</x:v>
      </x:c>
      <x:c r="O535" s="54" t="n">
        <x:v>1</x:v>
      </x:c>
    </x:row>
    <x:row r="536">
      <x:c r="A536" s="54" t="n">
        <x:v>532</x:v>
      </x:c>
      <x:c r="B536" s="54" t="n">
        <x:v>7</x:v>
      </x:c>
      <x:c r="C536" s="54" t="n">
        <x:v>13</x:v>
      </x:c>
      <x:c r="D536" s="54" t="n">
        <x:v>0</x:v>
      </x:c>
      <x:c r="E536" s="54" t="n">
        <x:v>64478</x:v>
      </x:c>
      <x:c r="F536" s="54" t="n">
        <x:v>54352</x:v>
      </x:c>
      <x:c r="G536" s="54" t="n">
        <x:v>15162</x:v>
      </x:c>
      <x:c r="H536" s="54" t="n">
        <x:v>12397</x:v>
      </x:c>
      <x:c r="I536" s="54" t="n">
        <x:v>6818</x:v>
      </x:c>
      <x:c r="J536" s="54" t="n">
        <x:v>122</x:v>
      </x:c>
      <x:c r="K536" s="53" t="n">
        <x:v>8.69743</x:v>
      </x:c>
      <x:c r="L536" s="53" t="n">
        <x:v>25.957</x:v>
      </x:c>
      <x:c r="M536" s="53" t="n">
        <x:v>-80.2425</x:v>
      </x:c>
      <x:c r="N536" s="54" t="n">
        <x:v>400</x:v>
      </x:c>
      <x:c r="O536" s="54" t="n">
        <x:v>1</x:v>
      </x:c>
    </x:row>
    <x:row r="537">
      <x:c r="A537" s="54" t="n">
        <x:v>533</x:v>
      </x:c>
      <x:c r="B537" s="54" t="n">
        <x:v>3</x:v>
      </x:c>
      <x:c r="C537" s="54" t="n">
        <x:v>6</x:v>
      </x:c>
      <x:c r="D537" s="54" t="n">
        <x:v>4</x:v>
      </x:c>
      <x:c r="E537" s="54" t="n">
        <x:v>70649</x:v>
      </x:c>
      <x:c r="F537" s="54" t="n">
        <x:v>70508</x:v>
      </x:c>
      <x:c r="G537" s="54" t="n">
        <x:v>9269</x:v>
      </x:c>
      <x:c r="H537" s="54" t="n">
        <x:v>15026</x:v>
      </x:c>
      <x:c r="I537" s="54" t="n">
        <x:v>6762</x:v>
      </x:c>
      <x:c r="J537" s="54" t="n">
        <x:v>141</x:v>
      </x:c>
      <x:c r="K537" s="53" t="n">
        <x:v>10.033037</x:v>
      </x:c>
      <x:c r="L537" s="53" t="n">
        <x:v>32.7506</x:v>
      </x:c>
      <x:c r="M537" s="53" t="n">
        <x:v>-97.0915</x:v>
      </x:c>
      <x:c r="N537" s="54" t="n">
        <x:v>350</x:v>
      </x:c>
      <x:c r="O537" s="54" t="n">
        <x:v>1</x:v>
      </x:c>
    </x:row>
    <x:row r="538">
      <x:c r="A538" s="54" t="n">
        <x:v>534</x:v>
      </x:c>
      <x:c r="B538" s="54" t="n">
        <x:v>4</x:v>
      </x:c>
      <x:c r="C538" s="54" t="n">
        <x:v>7</x:v>
      </x:c>
      <x:c r="D538" s="54" t="n">
        <x:v>2</x:v>
      </x:c>
      <x:c r="E538" s="54" t="n">
        <x:v>68777</x:v>
      </x:c>
      <x:c r="F538" s="54" t="n">
        <x:v>51849</x:v>
      </x:c>
      <x:c r="G538" s="54" t="n">
        <x:v>17204</x:v>
      </x:c>
      <x:c r="H538" s="54" t="n">
        <x:v>5712</x:v>
      </x:c>
      <x:c r="I538" s="54" t="n">
        <x:v>3427</x:v>
      </x:c>
      <x:c r="J538" s="54" t="n">
        <x:v>77</x:v>
      </x:c>
      <x:c r="K538" s="53" t="n">
        <x:v>9.092387</x:v>
      </x:c>
      <x:c r="L538" s="53" t="n">
        <x:v>29.6852</x:v>
      </x:c>
      <x:c r="M538" s="53" t="n">
        <x:v>-95.407</x:v>
      </x:c>
      <x:c r="N538" s="54" t="n">
        <x:v>250</x:v>
      </x:c>
      <x:c r="O538" s="54" t="n">
        <x:v>0</x:v>
      </x:c>
    </x:row>
    <x:row r="539">
      <x:c r="A539" s="54" t="n">
        <x:v>535</x:v>
      </x:c>
      <x:c r="B539" s="54" t="n">
        <x:v>6</x:v>
      </x:c>
      <x:c r="C539" s="54" t="n">
        <x:v>11</x:v>
      </x:c>
      <x:c r="D539" s="54" t="n">
        <x:v>2</x:v>
      </x:c>
      <x:c r="E539" s="54" t="n">
        <x:v>70492</x:v>
      </x:c>
      <x:c r="F539" s="54" t="n">
        <x:v>68113</x:v>
      </x:c>
      <x:c r="G539" s="54" t="n">
        <x:v>34019</x:v>
      </x:c>
      <x:c r="H539" s="54" t="n">
        <x:v>14554</x:v>
      </x:c>
      <x:c r="I539" s="54" t="n">
        <x:v>7277</x:v>
      </x:c>
      <x:c r="J539" s="54" t="n">
        <x:v>118</x:v>
      </x:c>
      <x:c r="K539" s="53" t="n">
        <x:v>9.603284</x:v>
      </x:c>
      <x:c r="L539" s="53" t="n">
        <x:v>33.9509</x:v>
      </x:c>
      <x:c r="M539" s="53" t="n">
        <x:v>-118.3441</x:v>
      </x:c>
      <x:c r="N539" s="54" t="n">
        <x:v>350</x:v>
      </x:c>
      <x:c r="O539" s="54" t="n">
        <x:v>1</x:v>
      </x:c>
    </x:row>
    <x:row r="540">
      <x:c r="A540" s="54" t="n">
        <x:v>536</x:v>
      </x:c>
      <x:c r="B540" s="54" t="n">
        <x:v>1</x:v>
      </x:c>
      <x:c r="C540" s="54" t="n">
        <x:v>1</x:v>
      </x:c>
      <x:c r="D540" s="54" t="n">
        <x:v>1</x:v>
      </x:c>
      <x:c r="E540" s="54" t="n">
        <x:v>68239</x:v>
      </x:c>
      <x:c r="F540" s="54" t="n">
        <x:v>59864</x:v>
      </x:c>
      <x:c r="G540" s="54" t="n">
        <x:v>28435</x:v>
      </x:c>
      <x:c r="H540" s="54" t="n">
        <x:v>24764</x:v>
      </x:c>
      <x:c r="I540" s="54" t="n">
        <x:v>14363</x:v>
      </x:c>
      <x:c r="J540" s="54" t="n">
        <x:v>68</x:v>
      </x:c>
      <x:c r="K540" s="53" t="n">
        <x:v>9.391018</x:v>
      </x:c>
      <x:c r="L540" s="53" t="n">
        <x:v>33.7565</x:v>
      </x:c>
      <x:c r="M540" s="53" t="n">
        <x:v>-84.4038</x:v>
      </x:c>
      <x:c r="N540" s="54" t="n">
        <x:v>250</x:v>
      </x:c>
      <x:c r="O540" s="54" t="n">
        <x:v>0</x:v>
      </x:c>
    </x:row>
    <x:row r="541">
      <x:c r="A541" s="54" t="n">
        <x:v>537</x:v>
      </x:c>
      <x:c r="B541" s="54" t="n">
        <x:v>4</x:v>
      </x:c>
      <x:c r="C541" s="54" t="n">
        <x:v>7</x:v>
      </x:c>
      <x:c r="D541" s="54" t="n">
        <x:v>0</x:v>
      </x:c>
      <x:c r="E541" s="54" t="n">
        <x:v>68777</x:v>
      </x:c>
      <x:c r="F541" s="54" t="n">
        <x:v>56594</x:v>
      </x:c>
      <x:c r="G541" s="54" t="n">
        <x:v>17256</x:v>
      </x:c>
      <x:c r="H541" s="54" t="n">
        <x:v>19360</x:v>
      </x:c>
      <x:c r="I541" s="54" t="n">
        <x:v>11616</x:v>
      </x:c>
      <x:c r="J541" s="54" t="n">
        <x:v>69</x:v>
      </x:c>
      <x:c r="K541" s="53" t="n">
        <x:v>9.092387</x:v>
      </x:c>
      <x:c r="L541" s="53" t="n">
        <x:v>29.6852</x:v>
      </x:c>
      <x:c r="M541" s="53" t="n">
        <x:v>-95.407</x:v>
      </x:c>
      <x:c r="N541" s="54" t="n">
        <x:v>250</x:v>
      </x:c>
      <x:c r="O541" s="54" t="n">
        <x:v>0</x:v>
      </x:c>
    </x:row>
    <x:row r="542">
      <x:c r="A542" s="54" t="n">
        <x:v>538</x:v>
      </x:c>
      <x:c r="B542" s="54" t="n">
        <x:v>2</x:v>
      </x:c>
      <x:c r="C542" s="54" t="n">
        <x:v>4</x:v>
      </x:c>
      <x:c r="D542" s="54" t="n">
        <x:v>0</x:v>
      </x:c>
      <x:c r="E542" s="54" t="n">
        <x:v>64146</x:v>
      </x:c>
      <x:c r="F542" s="54" t="n">
        <x:v>49121</x:v>
      </x:c>
      <x:c r="G542" s="54" t="n">
        <x:v>10774</x:v>
      </x:c>
      <x:c r="H542" s="54" t="n">
        <x:v>10858</x:v>
      </x:c>
      <x:c r="I542" s="54" t="n">
        <x:v>3800</x:v>
      </x:c>
      <x:c r="J542" s="54" t="n">
        <x:v>113</x:v>
      </x:c>
      <x:c r="K542" s="53" t="n">
        <x:v>8.671598</x:v>
      </x:c>
      <x:c r="L542" s="53" t="n">
        <x:v>42.0916</x:v>
      </x:c>
      <x:c r="M542" s="53" t="n">
        <x:v>-71.2648</x:v>
      </x:c>
      <x:c r="N542" s="54" t="n">
        <x:v>300</x:v>
      </x:c>
      <x:c r="O542" s="54" t="n">
        <x:v>0</x:v>
      </x:c>
    </x:row>
    <x:row r="543">
      <x:c r="A543" s="54" t="n">
        <x:v>539</x:v>
      </x:c>
      <x:c r="B543" s="54" t="n">
        <x:v>1</x:v>
      </x:c>
      <x:c r="C543" s="54" t="n">
        <x:v>1</x:v>
      </x:c>
      <x:c r="D543" s="54" t="n">
        <x:v>1</x:v>
      </x:c>
      <x:c r="E543" s="54" t="n">
        <x:v>68239</x:v>
      </x:c>
      <x:c r="F543" s="54" t="n">
        <x:v>62145</x:v>
      </x:c>
      <x:c r="G543" s="54" t="n">
        <x:v>33627</x:v>
      </x:c>
      <x:c r="H543" s="54" t="n">
        <x:v>27959</x:v>
      </x:c>
      <x:c r="I543" s="54" t="n">
        <x:v>16216</x:v>
      </x:c>
      <x:c r="J543" s="54" t="n">
        <x:v>89</x:v>
      </x:c>
      <x:c r="K543" s="53" t="n">
        <x:v>9.391018</x:v>
      </x:c>
      <x:c r="L543" s="53" t="n">
        <x:v>33.7565</x:v>
      </x:c>
      <x:c r="M543" s="53" t="n">
        <x:v>-84.4038</x:v>
      </x:c>
      <x:c r="N543" s="54" t="n">
        <x:v>250</x:v>
      </x:c>
      <x:c r="O543" s="54" t="n">
        <x:v>1</x:v>
      </x:c>
    </x:row>
    <x:row r="544">
      <x:c r="A544" s="54" t="n">
        <x:v>540</x:v>
      </x:c>
      <x:c r="B544" s="54" t="n">
        <x:v>2</x:v>
      </x:c>
      <x:c r="C544" s="54" t="n">
        <x:v>3</x:v>
      </x:c>
      <x:c r="D544" s="54" t="n">
        <x:v>0</x:v>
      </x:c>
      <x:c r="E544" s="54" t="n">
        <x:v>64146</x:v>
      </x:c>
      <x:c r="F544" s="54" t="n">
        <x:v>52648</x:v>
      </x:c>
      <x:c r="G544" s="54" t="n">
        <x:v>14482</x:v>
      </x:c>
      <x:c r="H544" s="54" t="n">
        <x:v>12555</x:v>
      </x:c>
      <x:c r="I544" s="54" t="n">
        <x:v>8161</x:v>
      </x:c>
      <x:c r="J544" s="54" t="n">
        <x:v>97</x:v>
      </x:c>
      <x:c r="K544" s="53" t="n">
        <x:v>8.671598</x:v>
      </x:c>
      <x:c r="L544" s="53" t="n">
        <x:v>42.0889</x:v>
      </x:c>
      <x:c r="M544" s="53" t="n">
        <x:v>-71.2597</x:v>
      </x:c>
      <x:c r="N544" s="54" t="n">
        <x:v>250</x:v>
      </x:c>
      <x:c r="O544" s="54" t="n">
        <x:v>0</x:v>
      </x:c>
    </x:row>
    <x:row r="545">
      <x:c r="A545" s="54" t="n">
        <x:v>541</x:v>
      </x:c>
      <x:c r="B545" s="54" t="n">
        <x:v>11</x:v>
      </x:c>
      <x:c r="C545" s="54" t="n">
        <x:v>21</x:v>
      </x:c>
      <x:c r="D545" s="54" t="n">
        <x:v>2</x:v>
      </x:c>
      <x:c r="E545" s="54" t="n">
        <x:v>66925</x:v>
      </x:c>
      <x:c r="F545" s="54" t="n">
        <x:v>60123</x:v>
      </x:c>
      <x:c r="G545" s="54" t="n">
        <x:v>32518</x:v>
      </x:c>
      <x:c r="H545" s="54" t="n">
        <x:v>33605</x:v>
      </x:c>
      <x:c r="I545" s="54" t="n">
        <x:v>18483</x:v>
      </x:c>
      <x:c r="J545" s="54" t="n">
        <x:v>78</x:v>
      </x:c>
      <x:c r="K545" s="53" t="n">
        <x:v>8.408439</x:v>
      </x:c>
      <x:c r="L545" s="53" t="n">
        <x:v>47.5917</x:v>
      </x:c>
      <x:c r="M545" s="53" t="n">
        <x:v>-122.3272</x:v>
      </x:c>
      <x:c r="N545" s="54" t="n">
        <x:v>250</x:v>
      </x:c>
      <x:c r="O545" s="54" t="n">
        <x:v>1</x:v>
      </x:c>
    </x:row>
    <x:row r="546">
      <x:c r="A546" s="54" t="n">
        <x:v>542</x:v>
      </x:c>
      <x:c r="B546" s="54" t="n">
        <x:v>7</x:v>
      </x:c>
      <x:c r="C546" s="54" t="n">
        <x:v>13</x:v>
      </x:c>
      <x:c r="D546" s="54" t="n">
        <x:v>0</x:v>
      </x:c>
      <x:c r="E546" s="54" t="n">
        <x:v>64478</x:v>
      </x:c>
      <x:c r="F546" s="54" t="n">
        <x:v>50737</x:v>
      </x:c>
      <x:c r="G546" s="54" t="n">
        <x:v>13727</x:v>
      </x:c>
      <x:c r="H546" s="54" t="n">
        <x:v>4059</x:v>
      </x:c>
      <x:c r="I546" s="54" t="n">
        <x:v>2232</x:v>
      </x:c>
      <x:c r="J546" s="54" t="n">
        <x:v>106</x:v>
      </x:c>
      <x:c r="K546" s="53" t="n">
        <x:v>8.69743</x:v>
      </x:c>
      <x:c r="L546" s="53" t="n">
        <x:v>25.957</x:v>
      </x:c>
      <x:c r="M546" s="53" t="n">
        <x:v>-80.2425</x:v>
      </x:c>
      <x:c r="N546" s="54" t="n">
        <x:v>400</x:v>
      </x:c>
      <x:c r="O546" s="54" t="n">
        <x:v>0</x:v>
      </x:c>
    </x:row>
    <x:row r="547">
      <x:c r="A547" s="54" t="n">
        <x:v>543</x:v>
      </x:c>
      <x:c r="B547" s="54" t="n">
        <x:v>8</x:v>
      </x:c>
      <x:c r="C547" s="54" t="n">
        <x:v>15</x:v>
      </x:c>
      <x:c r="D547" s="54" t="n">
        <x:v>0</x:v>
      </x:c>
      <x:c r="E547" s="54" t="n">
        <x:v>80663</x:v>
      </x:c>
      <x:c r="F547" s="54" t="n">
        <x:v>78337</x:v>
      </x:c>
      <x:c r="G547" s="54" t="n">
        <x:v>26818</x:v>
      </x:c>
      <x:c r="H547" s="54" t="n">
        <x:v>47657</x:v>
      </x:c>
      <x:c r="I547" s="54" t="n">
        <x:v>26211</x:v>
      </x:c>
      <x:c r="J547" s="54" t="n">
        <x:v>71</x:v>
      </x:c>
      <x:c r="K547" s="53" t="n">
        <x:v>10.438681</x:v>
      </x:c>
      <x:c r="L547" s="53" t="n">
        <x:v>40.807664</x:v>
      </x:c>
      <x:c r="M547" s="53" t="n">
        <x:v>-74.069833</x:v>
      </x:c>
      <x:c r="N547" s="54" t="n">
        <x:v>250</x:v>
      </x:c>
      <x:c r="O547" s="54" t="n">
        <x:v>1</x:v>
      </x:c>
    </x:row>
    <x:row r="548">
      <x:c r="A548" s="54" t="n">
        <x:v>544</x:v>
      </x:c>
      <x:c r="B548" s="54" t="n">
        <x:v>6</x:v>
      </x:c>
      <x:c r="C548" s="54" t="n">
        <x:v>11</x:v>
      </x:c>
      <x:c r="D548" s="54" t="n">
        <x:v>1</x:v>
      </x:c>
      <x:c r="E548" s="54" t="n">
        <x:v>70492</x:v>
      </x:c>
      <x:c r="F548" s="54" t="n">
        <x:v>69283</x:v>
      </x:c>
      <x:c r="G548" s="54" t="n">
        <x:v>23472</x:v>
      </x:c>
      <x:c r="H548" s="54" t="n">
        <x:v>17888</x:v>
      </x:c>
      <x:c r="I548" s="54" t="n">
        <x:v>8944</x:v>
      </x:c>
      <x:c r="J548" s="54" t="n">
        <x:v>110</x:v>
      </x:c>
      <x:c r="K548" s="53" t="n">
        <x:v>9.603284</x:v>
      </x:c>
      <x:c r="L548" s="53" t="n">
        <x:v>33.9509</x:v>
      </x:c>
      <x:c r="M548" s="53" t="n">
        <x:v>-118.3441</x:v>
      </x:c>
      <x:c r="N548" s="54" t="n">
        <x:v>350</x:v>
      </x:c>
      <x:c r="O548" s="54" t="n">
        <x:v>1</x:v>
      </x:c>
    </x:row>
    <x:row r="549">
      <x:c r="A549" s="54" t="n">
        <x:v>545</x:v>
      </x:c>
      <x:c r="B549" s="54" t="n">
        <x:v>8</x:v>
      </x:c>
      <x:c r="C549" s="54" t="n">
        <x:v>15</x:v>
      </x:c>
      <x:c r="D549" s="54" t="n">
        <x:v>0</x:v>
      </x:c>
      <x:c r="E549" s="54" t="n">
        <x:v>80663</x:v>
      </x:c>
      <x:c r="F549" s="54" t="n">
        <x:v>75373</x:v>
      </x:c>
      <x:c r="G549" s="54" t="n">
        <x:v>23254</x:v>
      </x:c>
      <x:c r="H549" s="54" t="n">
        <x:v>53610</x:v>
      </x:c>
      <x:c r="I549" s="54" t="n">
        <x:v>29486</x:v>
      </x:c>
      <x:c r="J549" s="54" t="n">
        <x:v>71</x:v>
      </x:c>
      <x:c r="K549" s="53" t="n">
        <x:v>10.438681</x:v>
      </x:c>
      <x:c r="L549" s="53" t="n">
        <x:v>40.807664</x:v>
      </x:c>
      <x:c r="M549" s="53" t="n">
        <x:v>-74.069833</x:v>
      </x:c>
      <x:c r="N549" s="54" t="n">
        <x:v>250</x:v>
      </x:c>
      <x:c r="O549" s="54" t="n">
        <x:v>1</x:v>
      </x:c>
    </x:row>
    <x:row r="550">
      <x:c r="A550" s="54" t="n">
        <x:v>546</x:v>
      </x:c>
      <x:c r="B550" s="54" t="n">
        <x:v>7</x:v>
      </x:c>
      <x:c r="C550" s="54" t="n">
        <x:v>13</x:v>
      </x:c>
      <x:c r="D550" s="54" t="n">
        <x:v>2</x:v>
      </x:c>
      <x:c r="E550" s="54" t="n">
        <x:v>64478</x:v>
      </x:c>
      <x:c r="F550" s="54" t="n">
        <x:v>47796</x:v>
      </x:c>
      <x:c r="G550" s="54" t="n">
        <x:v>13886</x:v>
      </x:c>
      <x:c r="H550" s="54" t="n">
        <x:v>4135</x:v>
      </x:c>
      <x:c r="I550" s="54" t="n">
        <x:v>2274</x:v>
      </x:c>
      <x:c r="J550" s="54" t="n">
        <x:v>124</x:v>
      </x:c>
      <x:c r="K550" s="53" t="n">
        <x:v>8.69743</x:v>
      </x:c>
      <x:c r="L550" s="53" t="n">
        <x:v>25.957</x:v>
      </x:c>
      <x:c r="M550" s="53" t="n">
        <x:v>-80.2425</x:v>
      </x:c>
      <x:c r="N550" s="54" t="n">
        <x:v>400</x:v>
      </x:c>
      <x:c r="O550" s="54" t="n">
        <x:v>0</x:v>
      </x:c>
    </x:row>
    <x:row r="551">
      <x:c r="A551" s="54" t="n">
        <x:v>547</x:v>
      </x:c>
      <x:c r="B551" s="54" t="n">
        <x:v>7</x:v>
      </x:c>
      <x:c r="C551" s="54" t="n">
        <x:v>13</x:v>
      </x:c>
      <x:c r="D551" s="54" t="n">
        <x:v>0</x:v>
      </x:c>
      <x:c r="E551" s="54" t="n">
        <x:v>64478</x:v>
      </x:c>
      <x:c r="F551" s="54" t="n">
        <x:v>59182</x:v>
      </x:c>
      <x:c r="G551" s="54" t="n">
        <x:v>15470</x:v>
      </x:c>
      <x:c r="H551" s="54" t="n">
        <x:v>4735</x:v>
      </x:c>
      <x:c r="I551" s="54" t="n">
        <x:v>2604</x:v>
      </x:c>
      <x:c r="J551" s="54" t="n">
        <x:v>128</x:v>
      </x:c>
      <x:c r="K551" s="53" t="n">
        <x:v>8.69743</x:v>
      </x:c>
      <x:c r="L551" s="53" t="n">
        <x:v>25.957</x:v>
      </x:c>
      <x:c r="M551" s="53" t="n">
        <x:v>-80.2425</x:v>
      </x:c>
      <x:c r="N551" s="54" t="n">
        <x:v>400</x:v>
      </x:c>
      <x:c r="O551" s="54" t="n">
        <x:v>0</x:v>
      </x:c>
    </x:row>
    <x:row r="552">
      <x:c r="A552" s="54" t="n">
        <x:v>548</x:v>
      </x:c>
      <x:c r="B552" s="54" t="n">
        <x:v>3</x:v>
      </x:c>
      <x:c r="C552" s="54" t="n">
        <x:v>6</x:v>
      </x:c>
      <x:c r="D552" s="54" t="n">
        <x:v>1</x:v>
      </x:c>
      <x:c r="E552" s="54" t="n">
        <x:v>70649</x:v>
      </x:c>
      <x:c r="F552" s="54" t="n">
        <x:v>62496</x:v>
      </x:c>
      <x:c r="G552" s="54" t="n">
        <x:v>8849</x:v>
      </x:c>
      <x:c r="H552" s="54" t="n">
        <x:v>7878</x:v>
      </x:c>
      <x:c r="I552" s="54" t="n">
        <x:v>3545</x:v>
      </x:c>
      <x:c r="J552" s="54" t="n">
        <x:v>113</x:v>
      </x:c>
      <x:c r="K552" s="53" t="n">
        <x:v>10.033037</x:v>
      </x:c>
      <x:c r="L552" s="53" t="n">
        <x:v>32.7506</x:v>
      </x:c>
      <x:c r="M552" s="53" t="n">
        <x:v>-97.0915</x:v>
      </x:c>
      <x:c r="N552" s="54" t="n">
        <x:v>350</x:v>
      </x:c>
      <x:c r="O552" s="54" t="n">
        <x:v>0</x:v>
      </x:c>
    </x:row>
    <x:row r="553">
      <x:c r="A553" s="54" t="n">
        <x:v>549</x:v>
      </x:c>
      <x:c r="B553" s="54" t="n">
        <x:v>10</x:v>
      </x:c>
      <x:c r="C553" s="54" t="n">
        <x:v>19</x:v>
      </x:c>
      <x:c r="D553" s="54" t="n">
        <x:v>2</x:v>
      </x:c>
      <x:c r="E553" s="54" t="n">
        <x:v>68827</x:v>
      </x:c>
      <x:c r="F553" s="54" t="n">
        <x:v>62377</x:v>
      </x:c>
      <x:c r="G553" s="54" t="n">
        <x:v>35863</x:v>
      </x:c>
      <x:c r="H553" s="54" t="n">
        <x:v>24259</x:v>
      </x:c>
      <x:c r="I553" s="54" t="n">
        <x:v>15768</x:v>
      </x:c>
      <x:c r="J553" s="54" t="n">
        <x:v>87</x:v>
      </x:c>
      <x:c r="K553" s="53" t="n">
        <x:v>8.807888</x:v>
      </x:c>
      <x:c r="L553" s="53" t="n">
        <x:v>37.403468</x:v>
      </x:c>
      <x:c r="M553" s="53" t="n">
        <x:v>-121.974908</x:v>
      </x:c>
      <x:c r="N553" s="54" t="n">
        <x:v>250</x:v>
      </x:c>
      <x:c r="O553" s="54" t="n">
        <x:v>1</x:v>
      </x:c>
    </x:row>
    <x:row r="554">
      <x:c r="A554" s="54" t="n">
        <x:v>550</x:v>
      </x:c>
      <x:c r="B554" s="54" t="n">
        <x:v>4</x:v>
      </x:c>
      <x:c r="C554" s="54" t="n">
        <x:v>7</x:v>
      </x:c>
      <x:c r="D554" s="54" t="n">
        <x:v>0</x:v>
      </x:c>
      <x:c r="E554" s="54" t="n">
        <x:v>68777</x:v>
      </x:c>
      <x:c r="F554" s="54" t="n">
        <x:v>63188</x:v>
      </x:c>
      <x:c r="G554" s="54" t="n">
        <x:v>20090</x:v>
      </x:c>
      <x:c r="H554" s="54" t="n">
        <x:v>21152</x:v>
      </x:c>
      <x:c r="I554" s="54" t="n">
        <x:v>12691</x:v>
      </x:c>
      <x:c r="J554" s="54" t="n">
        <x:v>91</x:v>
      </x:c>
      <x:c r="K554" s="53" t="n">
        <x:v>9.092387</x:v>
      </x:c>
      <x:c r="L554" s="53" t="n">
        <x:v>29.6852</x:v>
      </x:c>
      <x:c r="M554" s="53" t="n">
        <x:v>-95.407</x:v>
      </x:c>
      <x:c r="N554" s="54" t="n">
        <x:v>250</x:v>
      </x:c>
      <x:c r="O554" s="54" t="n">
        <x:v>0</x:v>
      </x:c>
    </x:row>
    <x:row r="555">
      <x:c r="A555" s="54" t="n">
        <x:v>551</x:v>
      </x:c>
      <x:c r="B555" s="54" t="n">
        <x:v>7</x:v>
      </x:c>
      <x:c r="C555" s="54" t="n">
        <x:v>13</x:v>
      </x:c>
      <x:c r="D555" s="54" t="n">
        <x:v>0</x:v>
      </x:c>
      <x:c r="E555" s="54" t="n">
        <x:v>64478</x:v>
      </x:c>
      <x:c r="F555" s="54" t="n">
        <x:v>56518</x:v>
      </x:c>
      <x:c r="G555" s="54" t="n">
        <x:v>17446</x:v>
      </x:c>
      <x:c r="H555" s="54" t="n">
        <x:v>11452</x:v>
      </x:c>
      <x:c r="I555" s="54" t="n">
        <x:v>6299</x:v>
      </x:c>
      <x:c r="J555" s="54" t="n">
        <x:v>122</x:v>
      </x:c>
      <x:c r="K555" s="53" t="n">
        <x:v>8.69743</x:v>
      </x:c>
      <x:c r="L555" s="53" t="n">
        <x:v>25.957</x:v>
      </x:c>
      <x:c r="M555" s="53" t="n">
        <x:v>-80.2425</x:v>
      </x:c>
      <x:c r="N555" s="54" t="n">
        <x:v>400</x:v>
      </x:c>
      <x:c r="O555" s="54" t="n">
        <x:v>0</x:v>
      </x:c>
    </x:row>
    <x:row r="556">
      <x:c r="A556" s="54" t="n">
        <x:v>552</x:v>
      </x:c>
      <x:c r="B556" s="54" t="n">
        <x:v>11</x:v>
      </x:c>
      <x:c r="C556" s="54" t="n">
        <x:v>21</x:v>
      </x:c>
      <x:c r="D556" s="54" t="n">
        <x:v>0</x:v>
      </x:c>
      <x:c r="E556" s="54" t="n">
        <x:v>66925</x:v>
      </x:c>
      <x:c r="F556" s="54" t="n">
        <x:v>56118</x:v>
      </x:c>
      <x:c r="G556" s="54" t="n">
        <x:v>26305</x:v>
      </x:c>
      <x:c r="H556" s="54" t="n">
        <x:v>27273</x:v>
      </x:c>
      <x:c r="I556" s="54" t="n">
        <x:v>15000</x:v>
      </x:c>
      <x:c r="J556" s="54" t="n">
        <x:v>65</x:v>
      </x:c>
      <x:c r="K556" s="53" t="n">
        <x:v>8.408439</x:v>
      </x:c>
      <x:c r="L556" s="53" t="n">
        <x:v>47.5917</x:v>
      </x:c>
      <x:c r="M556" s="53" t="n">
        <x:v>-122.3272</x:v>
      </x:c>
      <x:c r="N556" s="54" t="n">
        <x:v>250</x:v>
      </x:c>
      <x:c r="O556" s="54" t="n">
        <x:v>0</x:v>
      </x:c>
    </x:row>
    <x:row r="557">
      <x:c r="A557" s="54" t="n">
        <x:v>553</x:v>
      </x:c>
      <x:c r="B557" s="54" t="n">
        <x:v>4</x:v>
      </x:c>
      <x:c r="C557" s="54" t="n">
        <x:v>7</x:v>
      </x:c>
      <x:c r="D557" s="54" t="n">
        <x:v>0</x:v>
      </x:c>
      <x:c r="E557" s="54" t="n">
        <x:v>68777</x:v>
      </x:c>
      <x:c r="F557" s="54" t="n">
        <x:v>62982</x:v>
      </x:c>
      <x:c r="G557" s="54" t="n">
        <x:v>22087</x:v>
      </x:c>
      <x:c r="H557" s="54" t="n">
        <x:v>14993</x:v>
      </x:c>
      <x:c r="I557" s="54" t="n">
        <x:v>8996</x:v>
      </x:c>
      <x:c r="J557" s="54" t="n">
        <x:v>68</x:v>
      </x:c>
      <x:c r="K557" s="53" t="n">
        <x:v>9.092387</x:v>
      </x:c>
      <x:c r="L557" s="53" t="n">
        <x:v>29.6852</x:v>
      </x:c>
      <x:c r="M557" s="53" t="n">
        <x:v>-95.407</x:v>
      </x:c>
      <x:c r="N557" s="54" t="n">
        <x:v>250</x:v>
      </x:c>
      <x:c r="O557" s="54" t="n">
        <x:v>0</x:v>
      </x:c>
    </x:row>
    <x:row r="558">
      <x:c r="A558" s="54" t="n">
        <x:v>554</x:v>
      </x:c>
      <x:c r="B558" s="54" t="n">
        <x:v>1</x:v>
      </x:c>
      <x:c r="C558" s="54" t="n">
        <x:v>1</x:v>
      </x:c>
      <x:c r="D558" s="54" t="n">
        <x:v>0</x:v>
      </x:c>
      <x:c r="E558" s="54" t="n">
        <x:v>68239</x:v>
      </x:c>
      <x:c r="F558" s="54" t="n">
        <x:v>54279</x:v>
      </x:c>
      <x:c r="G558" s="54" t="n">
        <x:v>22547</x:v>
      </x:c>
      <x:c r="H558" s="54" t="n">
        <x:v>24946</x:v>
      </x:c>
      <x:c r="I558" s="54" t="n">
        <x:v>14469</x:v>
      </x:c>
      <x:c r="J558" s="54" t="n">
        <x:v>61</x:v>
      </x:c>
      <x:c r="K558" s="53" t="n">
        <x:v>9.391018</x:v>
      </x:c>
      <x:c r="L558" s="53" t="n">
        <x:v>33.7565</x:v>
      </x:c>
      <x:c r="M558" s="53" t="n">
        <x:v>-84.4038</x:v>
      </x:c>
      <x:c r="N558" s="54" t="n">
        <x:v>250</x:v>
      </x:c>
      <x:c r="O558" s="54" t="n">
        <x:v>0</x:v>
      </x:c>
    </x:row>
    <x:row r="559">
      <x:c r="A559" s="54" t="n">
        <x:v>555</x:v>
      </x:c>
      <x:c r="B559" s="54" t="n">
        <x:v>7</x:v>
      </x:c>
      <x:c r="C559" s="54" t="n">
        <x:v>13</x:v>
      </x:c>
      <x:c r="D559" s="54" t="n">
        <x:v>4</x:v>
      </x:c>
      <x:c r="E559" s="54" t="n">
        <x:v>64478</x:v>
      </x:c>
      <x:c r="F559" s="54" t="n">
        <x:v>55389</x:v>
      </x:c>
      <x:c r="G559" s="54" t="n">
        <x:v>14261</x:v>
      </x:c>
      <x:c r="H559" s="54" t="n">
        <x:v>5641</x:v>
      </x:c>
      <x:c r="I559" s="54" t="n">
        <x:v>3103</x:v>
      </x:c>
      <x:c r="J559" s="54" t="n">
        <x:v>113</x:v>
      </x:c>
      <x:c r="K559" s="53" t="n">
        <x:v>8.69743</x:v>
      </x:c>
      <x:c r="L559" s="53" t="n">
        <x:v>25.957</x:v>
      </x:c>
      <x:c r="M559" s="53" t="n">
        <x:v>-80.2425</x:v>
      </x:c>
      <x:c r="N559" s="54" t="n">
        <x:v>400</x:v>
      </x:c>
      <x:c r="O559" s="54" t="n">
        <x:v>0</x:v>
      </x:c>
    </x:row>
    <x:row r="560">
      <x:c r="A560" s="54" t="n">
        <x:v>556</x:v>
      </x:c>
      <x:c r="B560" s="54" t="n">
        <x:v>5</x:v>
      </x:c>
      <x:c r="C560" s="54" t="n">
        <x:v>10</x:v>
      </x:c>
      <x:c r="D560" s="54" t="n">
        <x:v>0</x:v>
      </x:c>
      <x:c r="E560" s="54" t="n">
        <x:v>69045</x:v>
      </x:c>
      <x:c r="F560" s="54" t="n">
        <x:v>59782</x:v>
      </x:c>
      <x:c r="G560" s="54" t="n">
        <x:v>4095</x:v>
      </x:c>
      <x:c r="H560" s="54" t="n">
        <x:v>5560</x:v>
      </x:c>
      <x:c r="I560" s="54" t="n">
        <x:v>2502</x:v>
      </x:c>
      <x:c r="J560" s="54" t="n">
        <x:v>118</x:v>
      </x:c>
      <x:c r="K560" s="53" t="n">
        <x:v>8.632123</x:v>
      </x:c>
      <x:c r="L560" s="53" t="n">
        <x:v>39.0491</x:v>
      </x:c>
      <x:c r="M560" s="53" t="n">
        <x:v>-94.4871</x:v>
      </x:c>
      <x:c r="N560" s="54" t="n">
        <x:v>400</x:v>
      </x:c>
      <x:c r="O560" s="54" t="n">
        <x:v>0</x:v>
      </x:c>
    </x:row>
    <x:row r="561">
      <x:c r="A561" s="54" t="n">
        <x:v>557</x:v>
      </x:c>
      <x:c r="B561" s="54" t="n">
        <x:v>6</x:v>
      </x:c>
      <x:c r="C561" s="54" t="n">
        <x:v>11</x:v>
      </x:c>
      <x:c r="D561" s="54" t="n">
        <x:v>0</x:v>
      </x:c>
      <x:c r="E561" s="54" t="n">
        <x:v>70492</x:v>
      </x:c>
      <x:c r="F561" s="54" t="n">
        <x:v>59379</x:v>
      </x:c>
      <x:c r="G561" s="54" t="n">
        <x:v>18865</x:v>
      </x:c>
      <x:c r="H561" s="54" t="n">
        <x:v>8206</x:v>
      </x:c>
      <x:c r="I561" s="54" t="n">
        <x:v>4103</x:v>
      </x:c>
      <x:c r="J561" s="54" t="n">
        <x:v>97</x:v>
      </x:c>
      <x:c r="K561" s="53" t="n">
        <x:v>9.603284</x:v>
      </x:c>
      <x:c r="L561" s="53" t="n">
        <x:v>33.9509</x:v>
      </x:c>
      <x:c r="M561" s="53" t="n">
        <x:v>-118.3441</x:v>
      </x:c>
      <x:c r="N561" s="54" t="n">
        <x:v>350</x:v>
      </x:c>
      <x:c r="O561" s="54" t="n">
        <x:v>0</x:v>
      </x:c>
    </x:row>
    <x:row r="562">
      <x:c r="A562" s="54" t="n">
        <x:v>558</x:v>
      </x:c>
      <x:c r="B562" s="54" t="n">
        <x:v>3</x:v>
      </x:c>
      <x:c r="C562" s="54" t="n">
        <x:v>6</x:v>
      </x:c>
      <x:c r="D562" s="54" t="n">
        <x:v>0</x:v>
      </x:c>
      <x:c r="E562" s="54" t="n">
        <x:v>70649</x:v>
      </x:c>
      <x:c r="F562" s="54" t="n">
        <x:v>56511</x:v>
      </x:c>
      <x:c r="G562" s="54" t="n">
        <x:v>3237</x:v>
      </x:c>
      <x:c r="H562" s="54" t="n">
        <x:v>4521</x:v>
      </x:c>
      <x:c r="I562" s="54" t="n">
        <x:v>2034</x:v>
      </x:c>
      <x:c r="J562" s="54" t="n">
        <x:v>106</x:v>
      </x:c>
      <x:c r="K562" s="53" t="n">
        <x:v>10.033037</x:v>
      </x:c>
      <x:c r="L562" s="53" t="n">
        <x:v>32.7506</x:v>
      </x:c>
      <x:c r="M562" s="53" t="n">
        <x:v>-97.0915</x:v>
      </x:c>
      <x:c r="N562" s="54" t="n">
        <x:v>350</x:v>
      </x:c>
      <x:c r="O562" s="54" t="n">
        <x:v>0</x:v>
      </x:c>
    </x:row>
    <x:row r="563">
      <x:c r="A563" s="54" t="n">
        <x:v>559</x:v>
      </x:c>
      <x:c r="B563" s="54" t="n">
        <x:v>3</x:v>
      </x:c>
      <x:c r="C563" s="54" t="n">
        <x:v>6</x:v>
      </x:c>
      <x:c r="D563" s="54" t="n">
        <x:v>1</x:v>
      </x:c>
      <x:c r="E563" s="54" t="n">
        <x:v>70649</x:v>
      </x:c>
      <x:c r="F563" s="54" t="n">
        <x:v>68007</x:v>
      </x:c>
      <x:c r="G563" s="54" t="n">
        <x:v>9721</x:v>
      </x:c>
      <x:c r="H563" s="54" t="n">
        <x:v>19050</x:v>
      </x:c>
      <x:c r="I563" s="54" t="n">
        <x:v>8573</x:v>
      </x:c>
      <x:c r="J563" s="54" t="n">
        <x:v>119</x:v>
      </x:c>
      <x:c r="K563" s="53" t="n">
        <x:v>10.033037</x:v>
      </x:c>
      <x:c r="L563" s="53" t="n">
        <x:v>32.7506</x:v>
      </x:c>
      <x:c r="M563" s="53" t="n">
        <x:v>-97.0915</x:v>
      </x:c>
      <x:c r="N563" s="54" t="n">
        <x:v>350</x:v>
      </x:c>
      <x:c r="O563" s="54" t="n">
        <x:v>0</x:v>
      </x:c>
    </x:row>
    <x:row r="564">
      <x:c r="A564" s="54" t="n">
        <x:v>560</x:v>
      </x:c>
      <x:c r="B564" s="54" t="n">
        <x:v>8</x:v>
      </x:c>
      <x:c r="C564" s="54" t="n">
        <x:v>15</x:v>
      </x:c>
      <x:c r="D564" s="54" t="n">
        <x:v>1</x:v>
      </x:c>
      <x:c r="E564" s="54" t="n">
        <x:v>80663</x:v>
      </x:c>
      <x:c r="F564" s="54" t="n">
        <x:v>66746</x:v>
      </x:c>
      <x:c r="G564" s="54" t="n">
        <x:v>17481</x:v>
      </x:c>
      <x:c r="H564" s="54" t="n">
        <x:v>40758</x:v>
      </x:c>
      <x:c r="I564" s="54" t="n">
        <x:v>22417</x:v>
      </x:c>
      <x:c r="J564" s="54" t="n">
        <x:v>72</x:v>
      </x:c>
      <x:c r="K564" s="53" t="n">
        <x:v>10.438681</x:v>
      </x:c>
      <x:c r="L564" s="53" t="n">
        <x:v>40.807664</x:v>
      </x:c>
      <x:c r="M564" s="53" t="n">
        <x:v>-74.069833</x:v>
      </x:c>
      <x:c r="N564" s="54" t="n">
        <x:v>250</x:v>
      </x:c>
      <x:c r="O564" s="54" t="n">
        <x:v>0</x:v>
      </x:c>
    </x:row>
    <x:row r="565">
      <x:c r="A565" s="54" t="n">
        <x:v>561</x:v>
      </x:c>
      <x:c r="B565" s="54" t="n">
        <x:v>7</x:v>
      </x:c>
      <x:c r="C565" s="54" t="n">
        <x:v>14</x:v>
      </x:c>
      <x:c r="D565" s="54" t="n">
        <x:v>3</x:v>
      </x:c>
      <x:c r="E565" s="54" t="n">
        <x:v>64478</x:v>
      </x:c>
      <x:c r="F565" s="54" t="n">
        <x:v>54399</x:v>
      </x:c>
      <x:c r="G565" s="54" t="n">
        <x:v>12554</x:v>
      </x:c>
      <x:c r="H565" s="54" t="n">
        <x:v>8579</x:v>
      </x:c>
      <x:c r="I565" s="54" t="n">
        <x:v>3861</x:v>
      </x:c>
      <x:c r="J565" s="54" t="n">
        <x:v>123</x:v>
      </x:c>
      <x:c r="K565" s="53" t="n">
        <x:v>8.69743</x:v>
      </x:c>
      <x:c r="L565" s="53" t="n">
        <x:v>25.9549</x:v>
      </x:c>
      <x:c r="M565" s="53" t="n">
        <x:v>-80.2383</x:v>
      </x:c>
      <x:c r="N565" s="54" t="n">
        <x:v>350</x:v>
      </x:c>
      <x:c r="O565" s="54" t="n">
        <x:v>0</x:v>
      </x:c>
    </x:row>
    <x:row r="566">
      <x:c r="A566" s="54" t="n">
        <x:v>562</x:v>
      </x:c>
      <x:c r="B566" s="54" t="n">
        <x:v>2</x:v>
      </x:c>
      <x:c r="C566" s="54" t="n">
        <x:v>4</x:v>
      </x:c>
      <x:c r="D566" s="54" t="n">
        <x:v>0</x:v>
      </x:c>
      <x:c r="E566" s="54" t="n">
        <x:v>64146</x:v>
      </x:c>
      <x:c r="F566" s="54" t="n">
        <x:v>57068</x:v>
      </x:c>
      <x:c r="G566" s="54" t="n">
        <x:v>13918</x:v>
      </x:c>
      <x:c r="H566" s="54" t="n">
        <x:v>18861</x:v>
      </x:c>
      <x:c r="I566" s="54" t="n">
        <x:v>6601</x:v>
      </x:c>
      <x:c r="J566" s="54" t="n">
        <x:v>111</x:v>
      </x:c>
      <x:c r="K566" s="53" t="n">
        <x:v>8.671598</x:v>
      </x:c>
      <x:c r="L566" s="53" t="n">
        <x:v>42.0916</x:v>
      </x:c>
      <x:c r="M566" s="53" t="n">
        <x:v>-71.2648</x:v>
      </x:c>
      <x:c r="N566" s="54" t="n">
        <x:v>300</x:v>
      </x:c>
      <x:c r="O566" s="54" t="n">
        <x:v>1</x:v>
      </x:c>
    </x:row>
    <x:row r="567">
      <x:c r="A567" s="54" t="n">
        <x:v>563</x:v>
      </x:c>
      <x:c r="B567" s="54" t="n">
        <x:v>6</x:v>
      </x:c>
      <x:c r="C567" s="54" t="n">
        <x:v>11</x:v>
      </x:c>
      <x:c r="D567" s="54" t="n">
        <x:v>0</x:v>
      </x:c>
      <x:c r="E567" s="54" t="n">
        <x:v>70492</x:v>
      </x:c>
      <x:c r="F567" s="54" t="n">
        <x:v>57666</x:v>
      </x:c>
      <x:c r="G567" s="54" t="n">
        <x:v>21072</x:v>
      </x:c>
      <x:c r="H567" s="54" t="n">
        <x:v>10040</x:v>
      </x:c>
      <x:c r="I567" s="54" t="n">
        <x:v>5020</x:v>
      </x:c>
      <x:c r="J567" s="54" t="n">
        <x:v>100</x:v>
      </x:c>
      <x:c r="K567" s="53" t="n">
        <x:v>9.603284</x:v>
      </x:c>
      <x:c r="L567" s="53" t="n">
        <x:v>33.9509</x:v>
      </x:c>
      <x:c r="M567" s="53" t="n">
        <x:v>-118.3441</x:v>
      </x:c>
      <x:c r="N567" s="54" t="n">
        <x:v>350</x:v>
      </x:c>
      <x:c r="O567" s="54" t="n">
        <x:v>0</x:v>
      </x:c>
    </x:row>
    <x:row r="568">
      <x:c r="A568" s="54" t="n">
        <x:v>564</x:v>
      </x:c>
      <x:c r="B568" s="54" t="n">
        <x:v>1</x:v>
      </x:c>
      <x:c r="C568" s="54" t="n">
        <x:v>1</x:v>
      </x:c>
      <x:c r="D568" s="54" t="n">
        <x:v>1</x:v>
      </x:c>
      <x:c r="E568" s="54" t="n">
        <x:v>68239</x:v>
      </x:c>
      <x:c r="F568" s="54" t="n">
        <x:v>50798</x:v>
      </x:c>
      <x:c r="G568" s="54" t="n">
        <x:v>23717</x:v>
      </x:c>
      <x:c r="H568" s="54" t="n">
        <x:v>18028</x:v>
      </x:c>
      <x:c r="I568" s="54" t="n">
        <x:v>10456</x:v>
      </x:c>
      <x:c r="J568" s="54" t="n">
        <x:v>56</x:v>
      </x:c>
      <x:c r="K568" s="53" t="n">
        <x:v>9.391018</x:v>
      </x:c>
      <x:c r="L568" s="53" t="n">
        <x:v>33.7565</x:v>
      </x:c>
      <x:c r="M568" s="53" t="n">
        <x:v>-84.4038</x:v>
      </x:c>
      <x:c r="N568" s="54" t="n">
        <x:v>250</x:v>
      </x:c>
      <x:c r="O568" s="54" t="n">
        <x:v>0</x:v>
      </x:c>
    </x:row>
    <x:row r="569">
      <x:c r="A569" s="54" t="n">
        <x:v>565</x:v>
      </x:c>
      <x:c r="B569" s="54" t="n">
        <x:v>8</x:v>
      </x:c>
      <x:c r="C569" s="54" t="n">
        <x:v>15</x:v>
      </x:c>
      <x:c r="D569" s="54" t="n">
        <x:v>0</x:v>
      </x:c>
      <x:c r="E569" s="54" t="n">
        <x:v>80663</x:v>
      </x:c>
      <x:c r="F569" s="54" t="n">
        <x:v>73008</x:v>
      </x:c>
      <x:c r="G569" s="54" t="n">
        <x:v>25896</x:v>
      </x:c>
      <x:c r="H569" s="54" t="n">
        <x:v>39453</x:v>
      </x:c>
      <x:c r="I569" s="54" t="n">
        <x:v>21699</x:v>
      </x:c>
      <x:c r="J569" s="54" t="n">
        <x:v>75</x:v>
      </x:c>
      <x:c r="K569" s="53" t="n">
        <x:v>10.438681</x:v>
      </x:c>
      <x:c r="L569" s="53" t="n">
        <x:v>40.807664</x:v>
      </x:c>
      <x:c r="M569" s="53" t="n">
        <x:v>-74.069833</x:v>
      </x:c>
      <x:c r="N569" s="54" t="n">
        <x:v>250</x:v>
      </x:c>
      <x:c r="O569" s="54" t="n">
        <x:v>0</x:v>
      </x:c>
    </x:row>
    <x:row r="570">
      <x:c r="A570" s="54" t="n">
        <x:v>566</x:v>
      </x:c>
      <x:c r="B570" s="54" t="n">
        <x:v>5</x:v>
      </x:c>
      <x:c r="C570" s="54" t="n">
        <x:v>10</x:v>
      </x:c>
      <x:c r="D570" s="54" t="n">
        <x:v>1</x:v>
      </x:c>
      <x:c r="E570" s="54" t="n">
        <x:v>69045</x:v>
      </x:c>
      <x:c r="F570" s="54" t="n">
        <x:v>55914</x:v>
      </x:c>
      <x:c r="G570" s="54" t="n">
        <x:v>9002</x:v>
      </x:c>
      <x:c r="H570" s="54" t="n">
        <x:v>4553</x:v>
      </x:c>
      <x:c r="I570" s="54" t="n">
        <x:v>2049</x:v>
      </x:c>
      <x:c r="J570" s="54" t="n">
        <x:v>128</x:v>
      </x:c>
      <x:c r="K570" s="53" t="n">
        <x:v>8.632123</x:v>
      </x:c>
      <x:c r="L570" s="53" t="n">
        <x:v>39.0491</x:v>
      </x:c>
      <x:c r="M570" s="53" t="n">
        <x:v>-94.4871</x:v>
      </x:c>
      <x:c r="N570" s="54" t="n">
        <x:v>400</x:v>
      </x:c>
      <x:c r="O570" s="54" t="n">
        <x:v>0</x:v>
      </x:c>
    </x:row>
    <x:row r="571">
      <x:c r="A571" s="54" t="n">
        <x:v>567</x:v>
      </x:c>
      <x:c r="B571" s="54" t="n">
        <x:v>2</x:v>
      </x:c>
      <x:c r="C571" s="54" t="n">
        <x:v>4</x:v>
      </x:c>
      <x:c r="D571" s="54" t="n">
        <x:v>0</x:v>
      </x:c>
      <x:c r="E571" s="54" t="n">
        <x:v>64146</x:v>
      </x:c>
      <x:c r="F571" s="54" t="n">
        <x:v>52858</x:v>
      </x:c>
      <x:c r="G571" s="54" t="n">
        <x:v>10273</x:v>
      </x:c>
      <x:c r="H571" s="54" t="n">
        <x:v>11217</x:v>
      </x:c>
      <x:c r="I571" s="54" t="n">
        <x:v>3926</x:v>
      </x:c>
      <x:c r="J571" s="54" t="n">
        <x:v>96</x:v>
      </x:c>
      <x:c r="K571" s="53" t="n">
        <x:v>8.671598</x:v>
      </x:c>
      <x:c r="L571" s="53" t="n">
        <x:v>42.0916</x:v>
      </x:c>
      <x:c r="M571" s="53" t="n">
        <x:v>-71.2648</x:v>
      </x:c>
      <x:c r="N571" s="54" t="n">
        <x:v>300</x:v>
      </x:c>
      <x:c r="O571" s="54" t="n">
        <x:v>0</x:v>
      </x:c>
    </x:row>
    <x:row r="572">
      <x:c r="A572" s="54" t="n">
        <x:v>568</x:v>
      </x:c>
      <x:c r="B572" s="54" t="n">
        <x:v>7</x:v>
      </x:c>
      <x:c r="C572" s="54" t="n">
        <x:v>14</x:v>
      </x:c>
      <x:c r="D572" s="54" t="n">
        <x:v>0</x:v>
      </x:c>
      <x:c r="E572" s="54" t="n">
        <x:v>64478</x:v>
      </x:c>
      <x:c r="F572" s="54" t="n">
        <x:v>56379</x:v>
      </x:c>
      <x:c r="G572" s="54" t="n">
        <x:v>14091</x:v>
      </x:c>
      <x:c r="H572" s="54" t="n">
        <x:v>11450</x:v>
      </x:c>
      <x:c r="I572" s="54" t="n">
        <x:v>5153</x:v>
      </x:c>
      <x:c r="J572" s="54" t="n">
        <x:v>116</x:v>
      </x:c>
      <x:c r="K572" s="53" t="n">
        <x:v>8.69743</x:v>
      </x:c>
      <x:c r="L572" s="53" t="n">
        <x:v>25.9549</x:v>
      </x:c>
      <x:c r="M572" s="53" t="n">
        <x:v>-80.2383</x:v>
      </x:c>
      <x:c r="N572" s="54" t="n">
        <x:v>350</x:v>
      </x:c>
      <x:c r="O572" s="54" t="n">
        <x:v>0</x:v>
      </x:c>
    </x:row>
    <x:row r="573">
      <x:c r="A573" s="54" t="n">
        <x:v>569</x:v>
      </x:c>
      <x:c r="B573" s="54" t="n">
        <x:v>3</x:v>
      </x:c>
      <x:c r="C573" s="54" t="n">
        <x:v>6</x:v>
      </x:c>
      <x:c r="D573" s="54" t="n">
        <x:v>0</x:v>
      </x:c>
      <x:c r="E573" s="54" t="n">
        <x:v>70649</x:v>
      </x:c>
      <x:c r="F573" s="54" t="n">
        <x:v>64174</x:v>
      </x:c>
      <x:c r="G573" s="54" t="n">
        <x:v>7102</x:v>
      </x:c>
      <x:c r="H573" s="54" t="n">
        <x:v>5134</x:v>
      </x:c>
      <x:c r="I573" s="54" t="n">
        <x:v>2310</x:v>
      </x:c>
      <x:c r="J573" s="54" t="n">
        <x:v>113</x:v>
      </x:c>
      <x:c r="K573" s="53" t="n">
        <x:v>10.033037</x:v>
      </x:c>
      <x:c r="L573" s="53" t="n">
        <x:v>32.7506</x:v>
      </x:c>
      <x:c r="M573" s="53" t="n">
        <x:v>-97.0915</x:v>
      </x:c>
      <x:c r="N573" s="54" t="n">
        <x:v>350</x:v>
      </x:c>
      <x:c r="O573" s="54" t="n">
        <x:v>0</x:v>
      </x:c>
    </x:row>
    <x:row r="574">
      <x:c r="A574" s="54" t="n">
        <x:v>570</x:v>
      </x:c>
      <x:c r="B574" s="54" t="n">
        <x:v>1</x:v>
      </x:c>
      <x:c r="C574" s="54" t="n">
        <x:v>1</x:v>
      </x:c>
      <x:c r="D574" s="54" t="n">
        <x:v>1</x:v>
      </x:c>
      <x:c r="E574" s="54" t="n">
        <x:v>68239</x:v>
      </x:c>
      <x:c r="F574" s="54" t="n">
        <x:v>59199</x:v>
      </x:c>
      <x:c r="G574" s="54" t="n">
        <x:v>30316</x:v>
      </x:c>
      <x:c r="H574" s="54" t="n">
        <x:v>18664</x:v>
      </x:c>
      <x:c r="I574" s="54" t="n">
        <x:v>10825</x:v>
      </x:c>
      <x:c r="J574" s="54" t="n">
        <x:v>64</x:v>
      </x:c>
      <x:c r="K574" s="53" t="n">
        <x:v>9.391018</x:v>
      </x:c>
      <x:c r="L574" s="53" t="n">
        <x:v>33.7565</x:v>
      </x:c>
      <x:c r="M574" s="53" t="n">
        <x:v>-84.4038</x:v>
      </x:c>
      <x:c r="N574" s="54" t="n">
        <x:v>250</x:v>
      </x:c>
      <x:c r="O574" s="54" t="n">
        <x:v>0</x:v>
      </x:c>
    </x:row>
    <x:row r="575">
      <x:c r="A575" s="54" t="n">
        <x:v>571</x:v>
      </x:c>
      <x:c r="B575" s="54" t="n">
        <x:v>5</x:v>
      </x:c>
      <x:c r="C575" s="54" t="n">
        <x:v>10</x:v>
      </x:c>
      <x:c r="D575" s="54" t="n">
        <x:v>0</x:v>
      </x:c>
      <x:c r="E575" s="54" t="n">
        <x:v>69045</x:v>
      </x:c>
      <x:c r="F575" s="54" t="n">
        <x:v>58496</x:v>
      </x:c>
      <x:c r="G575" s="54" t="n">
        <x:v>2925</x:v>
      </x:c>
      <x:c r="H575" s="54" t="n">
        <x:v>6897</x:v>
      </x:c>
      <x:c r="I575" s="54" t="n">
        <x:v>3104</x:v>
      </x:c>
      <x:c r="J575" s="54" t="n">
        <x:v>115</x:v>
      </x:c>
      <x:c r="K575" s="53" t="n">
        <x:v>8.632123</x:v>
      </x:c>
      <x:c r="L575" s="53" t="n">
        <x:v>39.0491</x:v>
      </x:c>
      <x:c r="M575" s="53" t="n">
        <x:v>-94.4871</x:v>
      </x:c>
      <x:c r="N575" s="54" t="n">
        <x:v>400</x:v>
      </x:c>
      <x:c r="O575" s="54" t="n">
        <x:v>0</x:v>
      </x:c>
    </x:row>
    <x:row r="576">
      <x:c r="A576" s="54" t="n">
        <x:v>572</x:v>
      </x:c>
      <x:c r="B576" s="54" t="n">
        <x:v>1</x:v>
      </x:c>
      <x:c r="C576" s="54" t="n">
        <x:v>1</x:v>
      </x:c>
      <x:c r="D576" s="54" t="n">
        <x:v>0</x:v>
      </x:c>
      <x:c r="E576" s="54" t="n">
        <x:v>68239</x:v>
      </x:c>
      <x:c r="F576" s="54" t="n">
        <x:v>57163</x:v>
      </x:c>
      <x:c r="G576" s="54" t="n">
        <x:v>31961</x:v>
      </x:c>
      <x:c r="H576" s="54" t="n">
        <x:v>20476</x:v>
      </x:c>
      <x:c r="I576" s="54" t="n">
        <x:v>11876</x:v>
      </x:c>
      <x:c r="J576" s="54" t="n">
        <x:v>58</x:v>
      </x:c>
      <x:c r="K576" s="53" t="n">
        <x:v>9.391018</x:v>
      </x:c>
      <x:c r="L576" s="53" t="n">
        <x:v>33.7565</x:v>
      </x:c>
      <x:c r="M576" s="53" t="n">
        <x:v>-84.4038</x:v>
      </x:c>
      <x:c r="N576" s="54" t="n">
        <x:v>250</x:v>
      </x:c>
      <x:c r="O576" s="54" t="n">
        <x:v>0</x:v>
      </x:c>
    </x:row>
    <x:row r="577">
      <x:c r="A577" s="54" t="n">
        <x:v>573</x:v>
      </x:c>
      <x:c r="B577" s="54" t="n">
        <x:v>7</x:v>
      </x:c>
      <x:c r="C577" s="54" t="n">
        <x:v>14</x:v>
      </x:c>
      <x:c r="D577" s="54" t="n">
        <x:v>0</x:v>
      </x:c>
      <x:c r="E577" s="54" t="n">
        <x:v>64478</x:v>
      </x:c>
      <x:c r="F577" s="54" t="n">
        <x:v>53149</x:v>
      </x:c>
      <x:c r="G577" s="54" t="n">
        <x:v>11263</x:v>
      </x:c>
      <x:c r="H577" s="54" t="n">
        <x:v>7294</x:v>
      </x:c>
      <x:c r="I577" s="54" t="n">
        <x:v>3282</x:v>
      </x:c>
      <x:c r="J577" s="54" t="n">
        <x:v>121</x:v>
      </x:c>
      <x:c r="K577" s="53" t="n">
        <x:v>8.69743</x:v>
      </x:c>
      <x:c r="L577" s="53" t="n">
        <x:v>25.9549</x:v>
      </x:c>
      <x:c r="M577" s="53" t="n">
        <x:v>-80.2383</x:v>
      </x:c>
      <x:c r="N577" s="54" t="n">
        <x:v>350</x:v>
      </x:c>
      <x:c r="O577" s="54" t="n">
        <x:v>0</x:v>
      </x:c>
    </x:row>
    <x:row r="578">
      <x:c r="A578" s="54" t="n">
        <x:v>574</x:v>
      </x:c>
      <x:c r="B578" s="54" t="n">
        <x:v>4</x:v>
      </x:c>
      <x:c r="C578" s="54" t="n">
        <x:v>7</x:v>
      </x:c>
      <x:c r="D578" s="54" t="n">
        <x:v>0</x:v>
      </x:c>
      <x:c r="E578" s="54" t="n">
        <x:v>68777</x:v>
      </x:c>
      <x:c r="F578" s="54" t="n">
        <x:v>56237</x:v>
      </x:c>
      <x:c r="G578" s="54" t="n">
        <x:v>17635</x:v>
      </x:c>
      <x:c r="H578" s="54" t="n">
        <x:v>21152</x:v>
      </x:c>
      <x:c r="I578" s="54" t="n">
        <x:v>12691</x:v>
      </x:c>
      <x:c r="J578" s="54" t="n">
        <x:v>75</x:v>
      </x:c>
      <x:c r="K578" s="53" t="n">
        <x:v>9.092387</x:v>
      </x:c>
      <x:c r="L578" s="53" t="n">
        <x:v>29.6852</x:v>
      </x:c>
      <x:c r="M578" s="53" t="n">
        <x:v>-95.407</x:v>
      </x:c>
      <x:c r="N578" s="54" t="n">
        <x:v>250</x:v>
      </x:c>
      <x:c r="O578" s="54" t="n">
        <x:v>0</x:v>
      </x:c>
    </x:row>
    <x:row r="579">
      <x:c r="A579" s="54" t="n">
        <x:v>575</x:v>
      </x:c>
      <x:c r="B579" s="54" t="n">
        <x:v>7</x:v>
      </x:c>
      <x:c r="C579" s="54" t="n">
        <x:v>14</x:v>
      </x:c>
      <x:c r="D579" s="54" t="n">
        <x:v>0</x:v>
      </x:c>
      <x:c r="E579" s="54" t="n">
        <x:v>64478</x:v>
      </x:c>
      <x:c r="F579" s="54" t="n">
        <x:v>51954</x:v>
      </x:c>
      <x:c r="G579" s="54" t="n">
        <x:v>11421</x:v>
      </x:c>
      <x:c r="H579" s="54" t="n">
        <x:v>7452</x:v>
      </x:c>
      <x:c r="I579" s="54" t="n">
        <x:v>3353</x:v>
      </x:c>
      <x:c r="J579" s="54" t="n">
        <x:v>108</x:v>
      </x:c>
      <x:c r="K579" s="53" t="n">
        <x:v>8.69743</x:v>
      </x:c>
      <x:c r="L579" s="53" t="n">
        <x:v>25.9549</x:v>
      </x:c>
      <x:c r="M579" s="53" t="n">
        <x:v>-80.2383</x:v>
      </x:c>
      <x:c r="N579" s="54" t="n">
        <x:v>350</x:v>
      </x:c>
      <x:c r="O579" s="54" t="n">
        <x:v>0</x:v>
      </x:c>
    </x:row>
    <x:row r="580">
      <x:c r="A580" s="54" t="n">
        <x:v>576</x:v>
      </x:c>
      <x:c r="B580" s="54" t="n">
        <x:v>5</x:v>
      </x:c>
      <x:c r="C580" s="54" t="n">
        <x:v>10</x:v>
      </x:c>
      <x:c r="D580" s="54" t="n">
        <x:v>0</x:v>
      </x:c>
      <x:c r="E580" s="54" t="n">
        <x:v>69045</x:v>
      </x:c>
      <x:c r="F580" s="54" t="n">
        <x:v>54173</x:v>
      </x:c>
      <x:c r="G580" s="54" t="n">
        <x:v>2709</x:v>
      </x:c>
      <x:c r="H580" s="54" t="n">
        <x:v>4334</x:v>
      </x:c>
      <x:c r="I580" s="54" t="n">
        <x:v>1950</x:v>
      </x:c>
      <x:c r="J580" s="54" t="n">
        <x:v>119</x:v>
      </x:c>
      <x:c r="K580" s="53" t="n">
        <x:v>8.632123</x:v>
      </x:c>
      <x:c r="L580" s="53" t="n">
        <x:v>39.0491</x:v>
      </x:c>
      <x:c r="M580" s="53" t="n">
        <x:v>-94.4871</x:v>
      </x:c>
      <x:c r="N580" s="54" t="n">
        <x:v>400</x:v>
      </x:c>
      <x:c r="O580" s="54" t="n">
        <x:v>0</x:v>
      </x:c>
    </x:row>
    <x:row r="581">
      <x:c r="A581" s="54" t="n">
        <x:v>577</x:v>
      </x:c>
      <x:c r="B581" s="54" t="n">
        <x:v>7</x:v>
      </x:c>
      <x:c r="C581" s="54" t="n">
        <x:v>14</x:v>
      </x:c>
      <x:c r="D581" s="54" t="n">
        <x:v>0</x:v>
      </x:c>
      <x:c r="E581" s="54" t="n">
        <x:v>64478</x:v>
      </x:c>
      <x:c r="F581" s="54" t="n">
        <x:v>49077</x:v>
      </x:c>
      <x:c r="G581" s="54" t="n">
        <x:v>11197</x:v>
      </x:c>
      <x:c r="H581" s="54" t="n">
        <x:v>5859</x:v>
      </x:c>
      <x:c r="I581" s="54" t="n">
        <x:v>2637</x:v>
      </x:c>
      <x:c r="J581" s="54" t="n">
        <x:v>107</x:v>
      </x:c>
      <x:c r="K581" s="53" t="n">
        <x:v>8.69743</x:v>
      </x:c>
      <x:c r="L581" s="53" t="n">
        <x:v>25.9549</x:v>
      </x:c>
      <x:c r="M581" s="53" t="n">
        <x:v>-80.2383</x:v>
      </x:c>
      <x:c r="N581" s="54" t="n">
        <x:v>350</x:v>
      </x:c>
      <x:c r="O581" s="54" t="n">
        <x:v>0</x:v>
      </x:c>
    </x:row>
    <x:row r="582">
      <x:c r="A582" s="54" t="n">
        <x:v>578</x:v>
      </x:c>
      <x:c r="B582" s="54" t="n">
        <x:v>10</x:v>
      </x:c>
      <x:c r="C582" s="54" t="n">
        <x:v>19</x:v>
      </x:c>
      <x:c r="D582" s="54" t="n">
        <x:v>0</x:v>
      </x:c>
      <x:c r="E582" s="54" t="n">
        <x:v>68827</x:v>
      </x:c>
      <x:c r="F582" s="54" t="n">
        <x:v>56275</x:v>
      </x:c>
      <x:c r="G582" s="54" t="n">
        <x:v>31090</x:v>
      </x:c>
      <x:c r="H582" s="54" t="n">
        <x:v>22136</x:v>
      </x:c>
      <x:c r="I582" s="54" t="n">
        <x:v>14388</x:v>
      </x:c>
      <x:c r="J582" s="54" t="n">
        <x:v>90</x:v>
      </x:c>
      <x:c r="K582" s="53" t="n">
        <x:v>8.807888</x:v>
      </x:c>
      <x:c r="L582" s="53" t="n">
        <x:v>37.403468</x:v>
      </x:c>
      <x:c r="M582" s="53" t="n">
        <x:v>-121.974908</x:v>
      </x:c>
      <x:c r="N582" s="54" t="n">
        <x:v>250</x:v>
      </x:c>
      <x:c r="O582" s="54" t="n">
        <x:v>0</x:v>
      </x:c>
    </x:row>
    <x:row r="583">
      <x:c r="A583" s="54" t="n">
        <x:v>579</x:v>
      </x:c>
      <x:c r="B583" s="54" t="n">
        <x:v>4</x:v>
      </x:c>
      <x:c r="C583" s="54" t="n">
        <x:v>7</x:v>
      </x:c>
      <x:c r="D583" s="54" t="n">
        <x:v>2</x:v>
      </x:c>
      <x:c r="E583" s="54" t="n">
        <x:v>68777</x:v>
      </x:c>
      <x:c r="F583" s="54" t="n">
        <x:v>56131</x:v>
      </x:c>
      <x:c r="G583" s="54" t="n">
        <x:v>17183</x:v>
      </x:c>
      <x:c r="H583" s="54" t="n">
        <x:v>24129</x:v>
      </x:c>
      <x:c r="I583" s="54" t="n">
        <x:v>14477</x:v>
      </x:c>
      <x:c r="J583" s="54" t="n">
        <x:v>79</x:v>
      </x:c>
      <x:c r="K583" s="53" t="n">
        <x:v>9.092387</x:v>
      </x:c>
      <x:c r="L583" s="53" t="n">
        <x:v>29.6852</x:v>
      </x:c>
      <x:c r="M583" s="53" t="n">
        <x:v>-95.407</x:v>
      </x:c>
      <x:c r="N583" s="54" t="n">
        <x:v>250</x:v>
      </x:c>
      <x:c r="O583" s="54" t="n">
        <x:v>0</x:v>
      </x:c>
    </x:row>
    <x:row r="584">
      <x:c r="A584" s="54" t="n">
        <x:v>580</x:v>
      </x:c>
      <x:c r="B584" s="54" t="n">
        <x:v>9</x:v>
      </x:c>
      <x:c r="C584" s="54" t="n">
        <x:v>17</x:v>
      </x:c>
      <x:c r="D584" s="54" t="n">
        <x:v>1</x:v>
      </x:c>
      <x:c r="E584" s="54" t="n">
        <x:v>68324</x:v>
      </x:c>
      <x:c r="F584" s="54" t="n">
        <x:v>58967</x:v>
      </x:c>
      <x:c r="G584" s="54" t="n">
        <x:v>24557</x:v>
      </x:c>
      <x:c r="H584" s="54" t="n">
        <x:v>32070</x:v>
      </x:c>
      <x:c r="I584" s="54" t="n">
        <x:v>19242</x:v>
      </x:c>
      <x:c r="J584" s="54" t="n">
        <x:v>87</x:v>
      </x:c>
      <x:c r="K584" s="53" t="n">
        <x:v>8.474327</x:v>
      </x:c>
      <x:c r="L584" s="53" t="n">
        <x:v>39.9047</x:v>
      </x:c>
      <x:c r="M584" s="53" t="n">
        <x:v>-75.1736</x:v>
      </x:c>
      <x:c r="N584" s="54" t="n">
        <x:v>250</x:v>
      </x:c>
      <x:c r="O584" s="54" t="n">
        <x:v>1</x:v>
      </x:c>
    </x:row>
    <x:row r="585">
      <x:c r="A585" s="54" t="n">
        <x:v>581</x:v>
      </x:c>
      <x:c r="B585" s="54" t="n">
        <x:v>1</x:v>
      </x:c>
      <x:c r="C585" s="54" t="n">
        <x:v>1</x:v>
      </x:c>
      <x:c r="D585" s="54" t="n">
        <x:v>0</x:v>
      </x:c>
      <x:c r="E585" s="54" t="n">
        <x:v>68239</x:v>
      </x:c>
      <x:c r="F585" s="54" t="n">
        <x:v>55762</x:v>
      </x:c>
      <x:c r="G585" s="54" t="n">
        <x:v>26448</x:v>
      </x:c>
      <x:c r="H585" s="54" t="n">
        <x:v>20566</x:v>
      </x:c>
      <x:c r="I585" s="54" t="n">
        <x:v>11928</x:v>
      </x:c>
      <x:c r="J585" s="54" t="n">
        <x:v>70</x:v>
      </x:c>
      <x:c r="K585" s="53" t="n">
        <x:v>9.391018</x:v>
      </x:c>
      <x:c r="L585" s="53" t="n">
        <x:v>33.7565</x:v>
      </x:c>
      <x:c r="M585" s="53" t="n">
        <x:v>-84.4038</x:v>
      </x:c>
      <x:c r="N585" s="54" t="n">
        <x:v>250</x:v>
      </x:c>
      <x:c r="O585" s="54" t="n">
        <x:v>0</x:v>
      </x:c>
    </x:row>
    <x:row r="586">
      <x:c r="A586" s="54" t="n">
        <x:v>582</x:v>
      </x:c>
      <x:c r="B586" s="54" t="n">
        <x:v>8</x:v>
      </x:c>
      <x:c r="C586" s="54" t="n">
        <x:v>15</x:v>
      </x:c>
      <x:c r="D586" s="54" t="n">
        <x:v>0</x:v>
      </x:c>
      <x:c r="E586" s="54" t="n">
        <x:v>80663</x:v>
      </x:c>
      <x:c r="F586" s="54" t="n">
        <x:v>59379</x:v>
      </x:c>
      <x:c r="G586" s="54" t="n">
        <x:v>15698</x:v>
      </x:c>
      <x:c r="H586" s="54" t="n">
        <x:v>35651</x:v>
      </x:c>
      <x:c r="I586" s="54" t="n">
        <x:v>19608</x:v>
      </x:c>
      <x:c r="J586" s="54" t="n">
        <x:v>59</x:v>
      </x:c>
      <x:c r="K586" s="53" t="n">
        <x:v>10.438681</x:v>
      </x:c>
      <x:c r="L586" s="53" t="n">
        <x:v>40.807664</x:v>
      </x:c>
      <x:c r="M586" s="53" t="n">
        <x:v>-74.069833</x:v>
      </x:c>
      <x:c r="N586" s="54" t="n">
        <x:v>250</x:v>
      </x:c>
      <x:c r="O586" s="54" t="n">
        <x:v>0</x:v>
      </x:c>
    </x:row>
    <x:row r="587">
      <x:c r="A587" s="54" t="n">
        <x:v>583</x:v>
      </x:c>
      <x:c r="B587" s="54" t="n">
        <x:v>4</x:v>
      </x:c>
      <x:c r="C587" s="54" t="n">
        <x:v>7</x:v>
      </x:c>
      <x:c r="D587" s="54" t="n">
        <x:v>0</x:v>
      </x:c>
      <x:c r="E587" s="54" t="n">
        <x:v>68777</x:v>
      </x:c>
      <x:c r="F587" s="54" t="n">
        <x:v>49604</x:v>
      </x:c>
      <x:c r="G587" s="54" t="n">
        <x:v>13147</x:v>
      </x:c>
      <x:c r="H587" s="54" t="n">
        <x:v>10093</x:v>
      </x:c>
      <x:c r="I587" s="54" t="n">
        <x:v>6056</x:v>
      </x:c>
      <x:c r="J587" s="54" t="n">
        <x:v>86</x:v>
      </x:c>
      <x:c r="K587" s="53" t="n">
        <x:v>9.092387</x:v>
      </x:c>
      <x:c r="L587" s="53" t="n">
        <x:v>29.6852</x:v>
      </x:c>
      <x:c r="M587" s="53" t="n">
        <x:v>-95.407</x:v>
      </x:c>
      <x:c r="N587" s="54" t="n">
        <x:v>250</x:v>
      </x:c>
      <x:c r="O587" s="54" t="n">
        <x:v>0</x:v>
      </x:c>
    </x:row>
    <x:row r="588">
      <x:c r="A588" s="54" t="n">
        <x:v>584</x:v>
      </x:c>
      <x:c r="B588" s="54" t="n">
        <x:v>8</x:v>
      </x:c>
      <x:c r="C588" s="54" t="n">
        <x:v>15</x:v>
      </x:c>
      <x:c r="D588" s="54" t="n">
        <x:v>0</x:v>
      </x:c>
      <x:c r="E588" s="54" t="n">
        <x:v>80663</x:v>
      </x:c>
      <x:c r="F588" s="54" t="n">
        <x:v>68650</x:v>
      </x:c>
      <x:c r="G588" s="54" t="n">
        <x:v>26012</x:v>
      </x:c>
      <x:c r="H588" s="54" t="n">
        <x:v>37153</x:v>
      </x:c>
      <x:c r="I588" s="54" t="n">
        <x:v>20434</x:v>
      </x:c>
      <x:c r="J588" s="54" t="n">
        <x:v>75</x:v>
      </x:c>
      <x:c r="K588" s="53" t="n">
        <x:v>10.438681</x:v>
      </x:c>
      <x:c r="L588" s="53" t="n">
        <x:v>40.807664</x:v>
      </x:c>
      <x:c r="M588" s="53" t="n">
        <x:v>-74.069833</x:v>
      </x:c>
      <x:c r="N588" s="54" t="n">
        <x:v>250</x:v>
      </x:c>
      <x:c r="O588" s="54" t="n">
        <x:v>0</x:v>
      </x:c>
    </x:row>
    <x:row r="589">
      <x:c r="A589" s="54" t="n">
        <x:v>585</x:v>
      </x:c>
      <x:c r="B589" s="54" t="n">
        <x:v>6</x:v>
      </x:c>
      <x:c r="C589" s="54" t="n">
        <x:v>11</x:v>
      </x:c>
      <x:c r="D589" s="54" t="n">
        <x:v>0</x:v>
      </x:c>
      <x:c r="E589" s="54" t="n">
        <x:v>70492</x:v>
      </x:c>
      <x:c r="F589" s="54" t="n">
        <x:v>61198</x:v>
      </x:c>
      <x:c r="G589" s="54" t="n">
        <x:v>20994</x:v>
      </x:c>
      <x:c r="H589" s="54" t="n">
        <x:v>11766</x:v>
      </x:c>
      <x:c r="I589" s="54" t="n">
        <x:v>5883</x:v>
      </x:c>
      <x:c r="J589" s="54" t="n">
        <x:v>103</x:v>
      </x:c>
      <x:c r="K589" s="53" t="n">
        <x:v>9.603284</x:v>
      </x:c>
      <x:c r="L589" s="53" t="n">
        <x:v>33.9509</x:v>
      </x:c>
      <x:c r="M589" s="53" t="n">
        <x:v>-118.3441</x:v>
      </x:c>
      <x:c r="N589" s="54" t="n">
        <x:v>350</x:v>
      </x:c>
      <x:c r="O589" s="54" t="n">
        <x:v>0</x:v>
      </x:c>
    </x:row>
    <x:row r="590">
      <x:c r="A590" s="54" t="n">
        <x:v>586</x:v>
      </x:c>
      <x:c r="B590" s="54" t="n">
        <x:v>3</x:v>
      </x:c>
      <x:c r="C590" s="54" t="n">
        <x:v>6</x:v>
      </x:c>
      <x:c r="D590" s="54" t="n">
        <x:v>0</x:v>
      </x:c>
      <x:c r="E590" s="54" t="n">
        <x:v>70649</x:v>
      </x:c>
      <x:c r="F590" s="54" t="n">
        <x:v>54372</x:v>
      </x:c>
      <x:c r="G590" s="54" t="n">
        <x:v>9474</x:v>
      </x:c>
      <x:c r="H590" s="54" t="n">
        <x:v>4778</x:v>
      </x:c>
      <x:c r="I590" s="54" t="n">
        <x:v>2150</x:v>
      </x:c>
      <x:c r="J590" s="54" t="n">
        <x:v>108</x:v>
      </x:c>
      <x:c r="K590" s="53" t="n">
        <x:v>10.033037</x:v>
      </x:c>
      <x:c r="L590" s="53" t="n">
        <x:v>32.7506</x:v>
      </x:c>
      <x:c r="M590" s="53" t="n">
        <x:v>-97.0915</x:v>
      </x:c>
      <x:c r="N590" s="54" t="n">
        <x:v>350</x:v>
      </x:c>
      <x:c r="O590" s="54" t="n">
        <x:v>0</x:v>
      </x:c>
    </x:row>
    <x:row r="591">
      <x:c r="A591" s="54" t="n">
        <x:v>587</x:v>
      </x:c>
      <x:c r="B591" s="54" t="n">
        <x:v>1</x:v>
      </x:c>
      <x:c r="C591" s="54" t="n">
        <x:v>1</x:v>
      </x:c>
      <x:c r="D591" s="54" t="n">
        <x:v>0</x:v>
      </x:c>
      <x:c r="E591" s="54" t="n">
        <x:v>68239</x:v>
      </x:c>
      <x:c r="F591" s="54" t="n">
        <x:v>46488</x:v>
      </x:c>
      <x:c r="G591" s="54" t="n">
        <x:v>19387</x:v>
      </x:c>
      <x:c r="H591" s="54" t="n">
        <x:v>15110</x:v>
      </x:c>
      <x:c r="I591" s="54" t="n">
        <x:v>8764</x:v>
      </x:c>
      <x:c r="J591" s="54" t="n">
        <x:v>53</x:v>
      </x:c>
      <x:c r="K591" s="53" t="n">
        <x:v>9.391018</x:v>
      </x:c>
      <x:c r="L591" s="53" t="n">
        <x:v>33.7565</x:v>
      </x:c>
      <x:c r="M591" s="53" t="n">
        <x:v>-84.4038</x:v>
      </x:c>
      <x:c r="N591" s="54" t="n">
        <x:v>250</x:v>
      </x:c>
      <x:c r="O591" s="54" t="n">
        <x:v>0</x:v>
      </x:c>
    </x:row>
    <x:row r="592">
      <x:c r="A592" s="54" t="n">
        <x:v>588</x:v>
      </x:c>
      <x:c r="B592" s="54" t="n">
        <x:v>5</x:v>
      </x:c>
      <x:c r="C592" s="54" t="n">
        <x:v>10</x:v>
      </x:c>
      <x:c r="D592" s="54" t="n">
        <x:v>1</x:v>
      </x:c>
      <x:c r="E592" s="54" t="n">
        <x:v>69045</x:v>
      </x:c>
      <x:c r="F592" s="54" t="n">
        <x:v>58949</x:v>
      </x:c>
      <x:c r="G592" s="54" t="n">
        <x:v>10839</x:v>
      </x:c>
      <x:c r="H592" s="54" t="n">
        <x:v>4716</x:v>
      </x:c>
      <x:c r="I592" s="54" t="n">
        <x:v>2122</x:v>
      </x:c>
      <x:c r="J592" s="54" t="n">
        <x:v>131</x:v>
      </x:c>
      <x:c r="K592" s="53" t="n">
        <x:v>8.632123</x:v>
      </x:c>
      <x:c r="L592" s="53" t="n">
        <x:v>39.0491</x:v>
      </x:c>
      <x:c r="M592" s="53" t="n">
        <x:v>-94.4871</x:v>
      </x:c>
      <x:c r="N592" s="54" t="n">
        <x:v>400</x:v>
      </x:c>
      <x:c r="O592" s="54" t="n">
        <x:v>0</x:v>
      </x:c>
    </x:row>
    <x:row r="593">
      <x:c r="A593" s="54" t="n">
        <x:v>589</x:v>
      </x:c>
      <x:c r="B593" s="54" t="n">
        <x:v>5</x:v>
      </x:c>
      <x:c r="C593" s="54" t="n">
        <x:v>10</x:v>
      </x:c>
      <x:c r="D593" s="54" t="n">
        <x:v>0</x:v>
      </x:c>
      <x:c r="E593" s="54" t="n">
        <x:v>69045</x:v>
      </x:c>
      <x:c r="F593" s="54" t="n">
        <x:v>56217</x:v>
      </x:c>
      <x:c r="G593" s="54" t="n">
        <x:v>5552</x:v>
      </x:c>
      <x:c r="H593" s="54" t="n">
        <x:v>10357</x:v>
      </x:c>
      <x:c r="I593" s="54" t="n">
        <x:v>4661</x:v>
      </x:c>
      <x:c r="J593" s="54" t="n">
        <x:v>109</x:v>
      </x:c>
      <x:c r="K593" s="53" t="n">
        <x:v>8.632123</x:v>
      </x:c>
      <x:c r="L593" s="53" t="n">
        <x:v>39.0491</x:v>
      </x:c>
      <x:c r="M593" s="53" t="n">
        <x:v>-94.4871</x:v>
      </x:c>
      <x:c r="N593" s="54" t="n">
        <x:v>400</x:v>
      </x:c>
      <x:c r="O593" s="54" t="n">
        <x:v>0</x:v>
      </x:c>
    </x:row>
    <x:row r="594">
      <x:c r="A594" s="54" t="n">
        <x:v>590</x:v>
      </x:c>
      <x:c r="B594" s="54" t="n">
        <x:v>9</x:v>
      </x:c>
      <x:c r="C594" s="54" t="n">
        <x:v>17</x:v>
      </x:c>
      <x:c r="D594" s="54" t="n">
        <x:v>0</x:v>
      </x:c>
      <x:c r="E594" s="54" t="n">
        <x:v>68324</x:v>
      </x:c>
      <x:c r="F594" s="54" t="n">
        <x:v>60682</x:v>
      </x:c>
      <x:c r="G594" s="54" t="n">
        <x:v>28012</x:v>
      </x:c>
      <x:c r="H594" s="54" t="n">
        <x:v>34878</x:v>
      </x:c>
      <x:c r="I594" s="54" t="n">
        <x:v>20927</x:v>
      </x:c>
      <x:c r="J594" s="54" t="n">
        <x:v>85</x:v>
      </x:c>
      <x:c r="K594" s="53" t="n">
        <x:v>8.474327</x:v>
      </x:c>
      <x:c r="L594" s="53" t="n">
        <x:v>39.9047</x:v>
      </x:c>
      <x:c r="M594" s="53" t="n">
        <x:v>-75.1736</x:v>
      </x:c>
      <x:c r="N594" s="54" t="n">
        <x:v>250</x:v>
      </x:c>
      <x:c r="O594" s="54" t="n">
        <x:v>1</x:v>
      </x:c>
    </x:row>
    <x:row r="595">
      <x:c r="A595" s="54" t="n">
        <x:v>591</x:v>
      </x:c>
      <x:c r="B595" s="54" t="n">
        <x:v>6</x:v>
      </x:c>
      <x:c r="C595" s="54" t="n">
        <x:v>11</x:v>
      </x:c>
      <x:c r="D595" s="54" t="n">
        <x:v>1</x:v>
      </x:c>
      <x:c r="E595" s="54" t="n">
        <x:v>70492</x:v>
      </x:c>
      <x:c r="F595" s="54" t="n">
        <x:v>65103</x:v>
      </x:c>
      <x:c r="G595" s="54" t="n">
        <x:v>30963</x:v>
      </x:c>
      <x:c r="H595" s="54" t="n">
        <x:v>18880</x:v>
      </x:c>
      <x:c r="I595" s="54" t="n">
        <x:v>9440</x:v>
      </x:c>
      <x:c r="J595" s="54" t="n">
        <x:v>104</x:v>
      </x:c>
      <x:c r="K595" s="53" t="n">
        <x:v>9.603284</x:v>
      </x:c>
      <x:c r="L595" s="53" t="n">
        <x:v>33.9509</x:v>
      </x:c>
      <x:c r="M595" s="53" t="n">
        <x:v>-118.3441</x:v>
      </x:c>
      <x:c r="N595" s="54" t="n">
        <x:v>350</x:v>
      </x:c>
      <x:c r="O595" s="54" t="n">
        <x:v>1</x:v>
      </x:c>
    </x:row>
    <x:row r="596">
      <x:c r="A596" s="54" t="n">
        <x:v>592</x:v>
      </x:c>
      <x:c r="B596" s="54" t="n">
        <x:v>4</x:v>
      </x:c>
      <x:c r="C596" s="54" t="n">
        <x:v>7</x:v>
      </x:c>
      <x:c r="D596" s="54" t="n">
        <x:v>0</x:v>
      </x:c>
      <x:c r="E596" s="54" t="n">
        <x:v>68777</x:v>
      </x:c>
      <x:c r="F596" s="54" t="n">
        <x:v>60320</x:v>
      </x:c>
      <x:c r="G596" s="54" t="n">
        <x:v>20549</x:v>
      </x:c>
      <x:c r="H596" s="54" t="n">
        <x:v>19009</x:v>
      </x:c>
      <x:c r="I596" s="54" t="n">
        <x:v>11405</x:v>
      </x:c>
      <x:c r="J596" s="54" t="n">
        <x:v>70</x:v>
      </x:c>
      <x:c r="K596" s="53" t="n">
        <x:v>9.092387</x:v>
      </x:c>
      <x:c r="L596" s="53" t="n">
        <x:v>29.6852</x:v>
      </x:c>
      <x:c r="M596" s="53" t="n">
        <x:v>-95.407</x:v>
      </x:c>
      <x:c r="N596" s="54" t="n">
        <x:v>250</x:v>
      </x:c>
      <x:c r="O596" s="54" t="n">
        <x:v>0</x:v>
      </x:c>
    </x:row>
    <x:row r="597">
      <x:c r="A597" s="54" t="n">
        <x:v>593</x:v>
      </x:c>
      <x:c r="B597" s="54" t="n">
        <x:v>3</x:v>
      </x:c>
      <x:c r="C597" s="54" t="n">
        <x:v>6</x:v>
      </x:c>
      <x:c r="D597" s="54" t="n">
        <x:v>1</x:v>
      </x:c>
      <x:c r="E597" s="54" t="n">
        <x:v>70649</x:v>
      </x:c>
      <x:c r="F597" s="54" t="n">
        <x:v>66021</x:v>
      </x:c>
      <x:c r="G597" s="54" t="n">
        <x:v>7484</x:v>
      </x:c>
      <x:c r="H597" s="54" t="n">
        <x:v>6828</x:v>
      </x:c>
      <x:c r="I597" s="54" t="n">
        <x:v>3073</x:v>
      </x:c>
      <x:c r="J597" s="54" t="n">
        <x:v>102</x:v>
      </x:c>
      <x:c r="K597" s="53" t="n">
        <x:v>10.033037</x:v>
      </x:c>
      <x:c r="L597" s="53" t="n">
        <x:v>32.7506</x:v>
      </x:c>
      <x:c r="M597" s="53" t="n">
        <x:v>-97.0915</x:v>
      </x:c>
      <x:c r="N597" s="54" t="n">
        <x:v>350</x:v>
      </x:c>
      <x:c r="O597" s="54" t="n">
        <x:v>0</x:v>
      </x:c>
    </x:row>
    <x:row r="598">
      <x:c r="A598" s="54" t="n">
        <x:v>594</x:v>
      </x:c>
      <x:c r="B598" s="54" t="n">
        <x:v>1</x:v>
      </x:c>
      <x:c r="C598" s="54" t="n">
        <x:v>1</x:v>
      </x:c>
      <x:c r="D598" s="54" t="n">
        <x:v>1</x:v>
      </x:c>
      <x:c r="E598" s="54" t="n">
        <x:v>68239</x:v>
      </x:c>
      <x:c r="F598" s="54" t="n">
        <x:v>61552</x:v>
      </x:c>
      <x:c r="G598" s="54" t="n">
        <x:v>26559</x:v>
      </x:c>
      <x:c r="H598" s="54" t="n">
        <x:v>21408</x:v>
      </x:c>
      <x:c r="I598" s="54" t="n">
        <x:v>12417</x:v>
      </x:c>
      <x:c r="J598" s="54" t="n">
        <x:v>64</x:v>
      </x:c>
      <x:c r="K598" s="53" t="n">
        <x:v>9.391018</x:v>
      </x:c>
      <x:c r="L598" s="53" t="n">
        <x:v>33.7565</x:v>
      </x:c>
      <x:c r="M598" s="53" t="n">
        <x:v>-84.4038</x:v>
      </x:c>
      <x:c r="N598" s="54" t="n">
        <x:v>250</x:v>
      </x:c>
      <x:c r="O598" s="54" t="n">
        <x:v>0</x:v>
      </x:c>
    </x:row>
    <x:row r="599">
      <x:c r="A599" s="54" t="n">
        <x:v>595</x:v>
      </x:c>
      <x:c r="B599" s="54" t="n">
        <x:v>11</x:v>
      </x:c>
      <x:c r="C599" s="54" t="n">
        <x:v>21</x:v>
      </x:c>
      <x:c r="D599" s="54" t="n">
        <x:v>0</x:v>
      </x:c>
      <x:c r="E599" s="54" t="n">
        <x:v>66925</x:v>
      </x:c>
      <x:c r="F599" s="54" t="n">
        <x:v>54411</x:v>
      </x:c>
      <x:c r="G599" s="54" t="n">
        <x:v>28951</x:v>
      </x:c>
      <x:c r="H599" s="54" t="n">
        <x:v>30646</x:v>
      </x:c>
      <x:c r="I599" s="54" t="n">
        <x:v>16855</x:v>
      </x:c>
      <x:c r="J599" s="54" t="n">
        <x:v>62</x:v>
      </x:c>
      <x:c r="K599" s="53" t="n">
        <x:v>8.408439</x:v>
      </x:c>
      <x:c r="L599" s="53" t="n">
        <x:v>47.5917</x:v>
      </x:c>
      <x:c r="M599" s="53" t="n">
        <x:v>-122.3272</x:v>
      </x:c>
      <x:c r="N599" s="54" t="n">
        <x:v>250</x:v>
      </x:c>
      <x:c r="O599" s="54" t="n">
        <x:v>1</x:v>
      </x:c>
    </x:row>
    <x:row r="600">
      <x:c r="A600" s="54" t="n">
        <x:v>596</x:v>
      </x:c>
      <x:c r="B600" s="54" t="n">
        <x:v>1</x:v>
      </x:c>
      <x:c r="C600" s="54" t="n">
        <x:v>1</x:v>
      </x:c>
      <x:c r="D600" s="54" t="n">
        <x:v>0</x:v>
      </x:c>
      <x:c r="E600" s="54" t="n">
        <x:v>68239</x:v>
      </x:c>
      <x:c r="F600" s="54" t="n">
        <x:v>53468</x:v>
      </x:c>
      <x:c r="G600" s="54" t="n">
        <x:v>25775</x:v>
      </x:c>
      <x:c r="H600" s="54" t="n">
        <x:v>25044</x:v>
      </x:c>
      <x:c r="I600" s="54" t="n">
        <x:v>14526</x:v>
      </x:c>
      <x:c r="J600" s="54" t="n">
        <x:v>71</x:v>
      </x:c>
      <x:c r="K600" s="53" t="n">
        <x:v>9.391018</x:v>
      </x:c>
      <x:c r="L600" s="53" t="n">
        <x:v>33.7565</x:v>
      </x:c>
      <x:c r="M600" s="53" t="n">
        <x:v>-84.4038</x:v>
      </x:c>
      <x:c r="N600" s="54" t="n">
        <x:v>250</x:v>
      </x:c>
      <x:c r="O600" s="54" t="n">
        <x:v>0</x:v>
      </x:c>
    </x:row>
    <x:row r="601">
      <x:c r="A601" s="54" t="n">
        <x:v>597</x:v>
      </x:c>
      <x:c r="B601" s="54" t="n">
        <x:v>5</x:v>
      </x:c>
      <x:c r="C601" s="54" t="n">
        <x:v>10</x:v>
      </x:c>
      <x:c r="D601" s="54" t="n">
        <x:v>2</x:v>
      </x:c>
      <x:c r="E601" s="54" t="n">
        <x:v>69045</x:v>
      </x:c>
      <x:c r="F601" s="54" t="n">
        <x:v>61492</x:v>
      </x:c>
      <x:c r="G601" s="54" t="n">
        <x:v>11247</x:v>
      </x:c>
      <x:c r="H601" s="54" t="n">
        <x:v>11019</x:v>
      </x:c>
      <x:c r="I601" s="54" t="n">
        <x:v>4959</x:v>
      </x:c>
      <x:c r="J601" s="54" t="n">
        <x:v>119</x:v>
      </x:c>
      <x:c r="K601" s="53" t="n">
        <x:v>8.632123</x:v>
      </x:c>
      <x:c r="L601" s="53" t="n">
        <x:v>39.0491</x:v>
      </x:c>
      <x:c r="M601" s="53" t="n">
        <x:v>-94.4871</x:v>
      </x:c>
      <x:c r="N601" s="54" t="n">
        <x:v>400</x:v>
      </x:c>
      <x:c r="O601" s="54" t="n">
        <x:v>0</x:v>
      </x:c>
    </x:row>
    <x:row r="602">
      <x:c r="A602" s="54" t="n">
        <x:v>598</x:v>
      </x:c>
      <x:c r="B602" s="54" t="n">
        <x:v>6</x:v>
      </x:c>
      <x:c r="C602" s="54" t="n">
        <x:v>11</x:v>
      </x:c>
      <x:c r="D602" s="54" t="n">
        <x:v>0</x:v>
      </x:c>
      <x:c r="E602" s="54" t="n">
        <x:v>70492</x:v>
      </x:c>
      <x:c r="F602" s="54" t="n">
        <x:v>63701</x:v>
      </x:c>
      <x:c r="G602" s="54" t="n">
        <x:v>21476</x:v>
      </x:c>
      <x:c r="H602" s="54" t="n">
        <x:v>12492</x:v>
      </x:c>
      <x:c r="I602" s="54" t="n">
        <x:v>6246</x:v>
      </x:c>
      <x:c r="J602" s="54" t="n">
        <x:v>101</x:v>
      </x:c>
      <x:c r="K602" s="53" t="n">
        <x:v>9.603284</x:v>
      </x:c>
      <x:c r="L602" s="53" t="n">
        <x:v>33.9509</x:v>
      </x:c>
      <x:c r="M602" s="53" t="n">
        <x:v>-118.3441</x:v>
      </x:c>
      <x:c r="N602" s="54" t="n">
        <x:v>350</x:v>
      </x:c>
      <x:c r="O602" s="54" t="n">
        <x:v>0</x:v>
      </x:c>
    </x:row>
    <x:row r="603">
      <x:c r="A603" s="54" t="n">
        <x:v>599</x:v>
      </x:c>
      <x:c r="B603" s="54" t="n">
        <x:v>5</x:v>
      </x:c>
      <x:c r="C603" s="54" t="n">
        <x:v>10</x:v>
      </x:c>
      <x:c r="D603" s="54" t="n">
        <x:v>0</x:v>
      </x:c>
      <x:c r="E603" s="54" t="n">
        <x:v>69045</x:v>
      </x:c>
      <x:c r="F603" s="54" t="n">
        <x:v>63827</x:v>
      </x:c>
      <x:c r="G603" s="54" t="n">
        <x:v>6583</x:v>
      </x:c>
      <x:c r="H603" s="54" t="n">
        <x:v>7984</x:v>
      </x:c>
      <x:c r="I603" s="54" t="n">
        <x:v>3593</x:v>
      </x:c>
      <x:c r="J603" s="54" t="n">
        <x:v>131</x:v>
      </x:c>
      <x:c r="K603" s="53" t="n">
        <x:v>8.632123</x:v>
      </x:c>
      <x:c r="L603" s="53" t="n">
        <x:v>39.0491</x:v>
      </x:c>
      <x:c r="M603" s="53" t="n">
        <x:v>-94.4871</x:v>
      </x:c>
      <x:c r="N603" s="54" t="n">
        <x:v>400</x:v>
      </x:c>
      <x:c r="O603" s="54" t="n">
        <x:v>0</x:v>
      </x:c>
    </x:row>
    <x:row r="604">
      <x:c r="A604" s="54" t="n">
        <x:v>600</x:v>
      </x:c>
      <x:c r="B604" s="54" t="n">
        <x:v>1</x:v>
      </x:c>
      <x:c r="C604" s="54" t="n">
        <x:v>1</x:v>
      </x:c>
      <x:c r="D604" s="54" t="n">
        <x:v>0</x:v>
      </x:c>
      <x:c r="E604" s="54" t="n">
        <x:v>68239</x:v>
      </x:c>
      <x:c r="F604" s="54" t="n">
        <x:v>61391</x:v>
      </x:c>
      <x:c r="G604" s="54" t="n">
        <x:v>28015</x:v>
      </x:c>
      <x:c r="H604" s="54" t="n">
        <x:v>23905</x:v>
      </x:c>
      <x:c r="I604" s="54" t="n">
        <x:v>13865</x:v>
      </x:c>
      <x:c r="J604" s="54" t="n">
        <x:v>70</x:v>
      </x:c>
      <x:c r="K604" s="53" t="n">
        <x:v>9.391018</x:v>
      </x:c>
      <x:c r="L604" s="53" t="n">
        <x:v>33.7565</x:v>
      </x:c>
      <x:c r="M604" s="53" t="n">
        <x:v>-84.4038</x:v>
      </x:c>
      <x:c r="N604" s="54" t="n">
        <x:v>250</x:v>
      </x:c>
      <x:c r="O604" s="54" t="n">
        <x:v>0</x:v>
      </x:c>
    </x:row>
    <x:row r="605">
      <x:c r="A605" s="54" t="n">
        <x:v>601</x:v>
      </x:c>
      <x:c r="B605" s="54" t="n">
        <x:v>2</x:v>
      </x:c>
      <x:c r="C605" s="54" t="n">
        <x:v>4</x:v>
      </x:c>
      <x:c r="D605" s="54" t="n">
        <x:v>0</x:v>
      </x:c>
      <x:c r="E605" s="54" t="n">
        <x:v>64146</x:v>
      </x:c>
      <x:c r="F605" s="54" t="n">
        <x:v>54018</x:v>
      </x:c>
      <x:c r="G605" s="54" t="n">
        <x:v>11972</x:v>
      </x:c>
      <x:c r="H605" s="54" t="n">
        <x:v>13560</x:v>
      </x:c>
      <x:c r="I605" s="54" t="n">
        <x:v>4746</x:v>
      </x:c>
      <x:c r="J605" s="54" t="n">
        <x:v>103</x:v>
      </x:c>
      <x:c r="K605" s="53" t="n">
        <x:v>8.671598</x:v>
      </x:c>
      <x:c r="L605" s="53" t="n">
        <x:v>42.0916</x:v>
      </x:c>
      <x:c r="M605" s="53" t="n">
        <x:v>-71.2648</x:v>
      </x:c>
      <x:c r="N605" s="54" t="n">
        <x:v>300</x:v>
      </x:c>
      <x:c r="O605" s="54" t="n">
        <x:v>0</x:v>
      </x:c>
    </x:row>
    <x:row r="606">
      <x:c r="A606" s="54" t="n">
        <x:v>602</x:v>
      </x:c>
      <x:c r="B606" s="54" t="n">
        <x:v>1</x:v>
      </x:c>
      <x:c r="C606" s="54" t="n">
        <x:v>1</x:v>
      </x:c>
      <x:c r="D606" s="54" t="n">
        <x:v>0</x:v>
      </x:c>
      <x:c r="E606" s="54" t="n">
        <x:v>68239</x:v>
      </x:c>
      <x:c r="F606" s="54" t="n">
        <x:v>60984</x:v>
      </x:c>
      <x:c r="G606" s="54" t="n">
        <x:v>27120</x:v>
      </x:c>
      <x:c r="H606" s="54" t="n">
        <x:v>21633</x:v>
      </x:c>
      <x:c r="I606" s="54" t="n">
        <x:v>12547</x:v>
      </x:c>
      <x:c r="J606" s="54" t="n">
        <x:v>58</x:v>
      </x:c>
      <x:c r="K606" s="53" t="n">
        <x:v>9.391018</x:v>
      </x:c>
      <x:c r="L606" s="53" t="n">
        <x:v>33.7565</x:v>
      </x:c>
      <x:c r="M606" s="53" t="n">
        <x:v>-84.4038</x:v>
      </x:c>
      <x:c r="N606" s="54" t="n">
        <x:v>250</x:v>
      </x:c>
      <x:c r="O606" s="54" t="n">
        <x:v>0</x:v>
      </x:c>
    </x:row>
    <x:row r="607">
      <x:c r="A607" s="54" t="n">
        <x:v>603</x:v>
      </x:c>
      <x:c r="B607" s="54" t="n">
        <x:v>6</x:v>
      </x:c>
      <x:c r="C607" s="54" t="n">
        <x:v>11</x:v>
      </x:c>
      <x:c r="D607" s="54" t="n">
        <x:v>4</x:v>
      </x:c>
      <x:c r="E607" s="54" t="n">
        <x:v>70492</x:v>
      </x:c>
      <x:c r="F607" s="54" t="n">
        <x:v>63557</x:v>
      </x:c>
      <x:c r="G607" s="54" t="n">
        <x:v>27002</x:v>
      </x:c>
      <x:c r="H607" s="54" t="n">
        <x:v>14691</x:v>
      </x:c>
      <x:c r="I607" s="54" t="n">
        <x:v>7346</x:v>
      </x:c>
      <x:c r="J607" s="54" t="n">
        <x:v>125</x:v>
      </x:c>
      <x:c r="K607" s="53" t="n">
        <x:v>9.603284</x:v>
      </x:c>
      <x:c r="L607" s="53" t="n">
        <x:v>33.9509</x:v>
      </x:c>
      <x:c r="M607" s="53" t="n">
        <x:v>-118.3441</x:v>
      </x:c>
      <x:c r="N607" s="54" t="n">
        <x:v>350</x:v>
      </x:c>
      <x:c r="O607" s="54" t="n">
        <x:v>1</x:v>
      </x:c>
    </x:row>
    <x:row r="608">
      <x:c r="A608" s="54" t="n">
        <x:v>604</x:v>
      </x:c>
      <x:c r="B608" s="54" t="n">
        <x:v>8</x:v>
      </x:c>
      <x:c r="C608" s="54" t="n">
        <x:v>15</x:v>
      </x:c>
      <x:c r="D608" s="54" t="n">
        <x:v>0</x:v>
      </x:c>
      <x:c r="E608" s="54" t="n">
        <x:v>80663</x:v>
      </x:c>
      <x:c r="F608" s="54" t="n">
        <x:v>60240</x:v>
      </x:c>
      <x:c r="G608" s="54" t="n">
        <x:v>19318</x:v>
      </x:c>
      <x:c r="H608" s="54" t="n">
        <x:v>29346</x:v>
      </x:c>
      <x:c r="I608" s="54" t="n">
        <x:v>16140</x:v>
      </x:c>
      <x:c r="J608" s="54" t="n">
        <x:v>61</x:v>
      </x:c>
      <x:c r="K608" s="53" t="n">
        <x:v>10.438681</x:v>
      </x:c>
      <x:c r="L608" s="53" t="n">
        <x:v>40.807664</x:v>
      </x:c>
      <x:c r="M608" s="53" t="n">
        <x:v>-74.069833</x:v>
      </x:c>
      <x:c r="N608" s="54" t="n">
        <x:v>250</x:v>
      </x:c>
      <x:c r="O608" s="54" t="n">
        <x:v>0</x:v>
      </x:c>
    </x:row>
    <x:row r="609">
      <x:c r="A609" s="54" t="n">
        <x:v>605</x:v>
      </x:c>
      <x:c r="B609" s="54" t="n">
        <x:v>9</x:v>
      </x:c>
      <x:c r="C609" s="54" t="n">
        <x:v>17</x:v>
      </x:c>
      <x:c r="D609" s="54" t="n">
        <x:v>0</x:v>
      </x:c>
      <x:c r="E609" s="54" t="n">
        <x:v>68324</x:v>
      </x:c>
      <x:c r="F609" s="54" t="n">
        <x:v>56419</x:v>
      </x:c>
      <x:c r="G609" s="54" t="n">
        <x:v>22066</x:v>
      </x:c>
      <x:c r="H609" s="54" t="n">
        <x:v>26131</x:v>
      </x:c>
      <x:c r="I609" s="54" t="n">
        <x:v>15679</x:v>
      </x:c>
      <x:c r="J609" s="54" t="n">
        <x:v>79</x:v>
      </x:c>
      <x:c r="K609" s="53" t="n">
        <x:v>8.474327</x:v>
      </x:c>
      <x:c r="L609" s="53" t="n">
        <x:v>39.9047</x:v>
      </x:c>
      <x:c r="M609" s="53" t="n">
        <x:v>-75.1736</x:v>
      </x:c>
      <x:c r="N609" s="54" t="n">
        <x:v>250</x:v>
      </x:c>
      <x:c r="O609" s="54" t="n">
        <x:v>0</x:v>
      </x:c>
    </x:row>
    <x:row r="610">
      <x:c r="A610" s="54" t="n">
        <x:v>606</x:v>
      </x:c>
      <x:c r="B610" s="54" t="n">
        <x:v>1</x:v>
      </x:c>
      <x:c r="C610" s="54" t="n">
        <x:v>1</x:v>
      </x:c>
      <x:c r="D610" s="54" t="n">
        <x:v>1</x:v>
      </x:c>
      <x:c r="E610" s="54" t="n">
        <x:v>68239</x:v>
      </x:c>
      <x:c r="F610" s="54" t="n">
        <x:v>58540</x:v>
      </x:c>
      <x:c r="G610" s="54" t="n">
        <x:v>31074</x:v>
      </x:c>
      <x:c r="H610" s="54" t="n">
        <x:v>19886</x:v>
      </x:c>
      <x:c r="I610" s="54" t="n">
        <x:v>11534</x:v>
      </x:c>
      <x:c r="J610" s="54" t="n">
        <x:v>39</x:v>
      </x:c>
      <x:c r="K610" s="53" t="n">
        <x:v>9.391018</x:v>
      </x:c>
      <x:c r="L610" s="53" t="n">
        <x:v>33.7565</x:v>
      </x:c>
      <x:c r="M610" s="53" t="n">
        <x:v>-84.4038</x:v>
      </x:c>
      <x:c r="N610" s="54" t="n">
        <x:v>250</x:v>
      </x:c>
      <x:c r="O610" s="54" t="n">
        <x:v>0</x:v>
      </x:c>
    </x:row>
    <x:row r="611">
      <x:c r="A611" s="54" t="n">
        <x:v>607</x:v>
      </x:c>
      <x:c r="B611" s="54" t="n">
        <x:v>3</x:v>
      </x:c>
      <x:c r="C611" s="54" t="n">
        <x:v>6</x:v>
      </x:c>
      <x:c r="D611" s="54" t="n">
        <x:v>1</x:v>
      </x:c>
      <x:c r="E611" s="54" t="n">
        <x:v>70649</x:v>
      </x:c>
      <x:c r="F611" s="54" t="n">
        <x:v>65682</x:v>
      </x:c>
      <x:c r="G611" s="54" t="n">
        <x:v>8774</x:v>
      </x:c>
      <x:c r="H611" s="54" t="n">
        <x:v>8574</x:v>
      </x:c>
      <x:c r="I611" s="54" t="n">
        <x:v>3858</x:v>
      </x:c>
      <x:c r="J611" s="54" t="n">
        <x:v>120</x:v>
      </x:c>
      <x:c r="K611" s="53" t="n">
        <x:v>10.033037</x:v>
      </x:c>
      <x:c r="L611" s="53" t="n">
        <x:v>32.7506</x:v>
      </x:c>
      <x:c r="M611" s="53" t="n">
        <x:v>-97.0915</x:v>
      </x:c>
      <x:c r="N611" s="54" t="n">
        <x:v>350</x:v>
      </x:c>
      <x:c r="O611" s="54" t="n">
        <x:v>0</x:v>
      </x:c>
    </x:row>
    <x:row r="612">
      <x:c r="A612" s="54" t="n">
        <x:v>608</x:v>
      </x:c>
      <x:c r="B612" s="54" t="n">
        <x:v>4</x:v>
      </x:c>
      <x:c r="C612" s="54" t="n">
        <x:v>7</x:v>
      </x:c>
      <x:c r="D612" s="54" t="n">
        <x:v>0</x:v>
      </x:c>
      <x:c r="E612" s="54" t="n">
        <x:v>68777</x:v>
      </x:c>
      <x:c r="F612" s="54" t="n">
        <x:v>56653</x:v>
      </x:c>
      <x:c r="G612" s="54" t="n">
        <x:v>15923</x:v>
      </x:c>
      <x:c r="H612" s="54" t="n">
        <x:v>20833</x:v>
      </x:c>
      <x:c r="I612" s="54" t="n">
        <x:v>12500</x:v>
      </x:c>
      <x:c r="J612" s="54" t="n">
        <x:v>82</x:v>
      </x:c>
      <x:c r="K612" s="53" t="n">
        <x:v>9.092387</x:v>
      </x:c>
      <x:c r="L612" s="53" t="n">
        <x:v>29.6852</x:v>
      </x:c>
      <x:c r="M612" s="53" t="n">
        <x:v>-95.407</x:v>
      </x:c>
      <x:c r="N612" s="54" t="n">
        <x:v>250</x:v>
      </x:c>
      <x:c r="O612" s="54" t="n">
        <x:v>0</x:v>
      </x:c>
    </x:row>
    <x:row r="613">
      <x:c r="A613" s="54" t="n">
        <x:v>609</x:v>
      </x:c>
      <x:c r="B613" s="54" t="n">
        <x:v>3</x:v>
      </x:c>
      <x:c r="C613" s="54" t="n">
        <x:v>6</x:v>
      </x:c>
      <x:c r="D613" s="54" t="n">
        <x:v>0</x:v>
      </x:c>
      <x:c r="E613" s="54" t="n">
        <x:v>70649</x:v>
      </x:c>
      <x:c r="F613" s="54" t="n">
        <x:v>64302</x:v>
      </x:c>
      <x:c r="G613" s="54" t="n">
        <x:v>11884</x:v>
      </x:c>
      <x:c r="H613" s="54" t="n">
        <x:v>17759</x:v>
      </x:c>
      <x:c r="I613" s="54" t="n">
        <x:v>7992</x:v>
      </x:c>
      <x:c r="J613" s="54" t="n">
        <x:v>117</x:v>
      </x:c>
      <x:c r="K613" s="53" t="n">
        <x:v>10.033037</x:v>
      </x:c>
      <x:c r="L613" s="53" t="n">
        <x:v>32.7506</x:v>
      </x:c>
      <x:c r="M613" s="53" t="n">
        <x:v>-97.0915</x:v>
      </x:c>
      <x:c r="N613" s="54" t="n">
        <x:v>350</x:v>
      </x:c>
      <x:c r="O613" s="54" t="n">
        <x:v>1</x:v>
      </x:c>
    </x:row>
    <x:row r="614">
      <x:c r="A614" s="54" t="n">
        <x:v>610</x:v>
      </x:c>
      <x:c r="B614" s="54" t="n">
        <x:v>8</x:v>
      </x:c>
      <x:c r="C614" s="54" t="n">
        <x:v>15</x:v>
      </x:c>
      <x:c r="D614" s="54" t="n">
        <x:v>1</x:v>
      </x:c>
      <x:c r="E614" s="54" t="n">
        <x:v>80663</x:v>
      </x:c>
      <x:c r="F614" s="54" t="n">
        <x:v>68721</x:v>
      </x:c>
      <x:c r="G614" s="54" t="n">
        <x:v>24578</x:v>
      </x:c>
      <x:c r="H614" s="54" t="n">
        <x:v>48330</x:v>
      </x:c>
      <x:c r="I614" s="54" t="n">
        <x:v>26582</x:v>
      </x:c>
      <x:c r="J614" s="54" t="n">
        <x:v>73</x:v>
      </x:c>
      <x:c r="K614" s="53" t="n">
        <x:v>10.438681</x:v>
      </x:c>
      <x:c r="L614" s="53" t="n">
        <x:v>40.807664</x:v>
      </x:c>
      <x:c r="M614" s="53" t="n">
        <x:v>-74.069833</x:v>
      </x:c>
      <x:c r="N614" s="54" t="n">
        <x:v>250</x:v>
      </x:c>
      <x:c r="O614" s="54" t="n">
        <x:v>0</x:v>
      </x:c>
    </x:row>
    <x:row r="615">
      <x:c r="A615" s="54" t="n">
        <x:v>611</x:v>
      </x:c>
      <x:c r="B615" s="54" t="n">
        <x:v>10</x:v>
      </x:c>
      <x:c r="C615" s="54" t="n">
        <x:v>19</x:v>
      </x:c>
      <x:c r="D615" s="54" t="n">
        <x:v>0</x:v>
      </x:c>
      <x:c r="E615" s="54" t="n">
        <x:v>68827</x:v>
      </x:c>
      <x:c r="F615" s="54" t="n">
        <x:v>57844</x:v>
      </x:c>
      <x:c r="G615" s="54" t="n">
        <x:v>30899</x:v>
      </x:c>
      <x:c r="H615" s="54" t="n">
        <x:v>13434</x:v>
      </x:c>
      <x:c r="I615" s="54" t="n">
        <x:v>8732</x:v>
      </x:c>
      <x:c r="J615" s="54" t="n">
        <x:v>95</x:v>
      </x:c>
      <x:c r="K615" s="53" t="n">
        <x:v>8.807888</x:v>
      </x:c>
      <x:c r="L615" s="53" t="n">
        <x:v>37.403468</x:v>
      </x:c>
      <x:c r="M615" s="53" t="n">
        <x:v>-121.974908</x:v>
      </x:c>
      <x:c r="N615" s="54" t="n">
        <x:v>250</x:v>
      </x:c>
      <x:c r="O615" s="54" t="n">
        <x:v>0</x:v>
      </x:c>
    </x:row>
    <x:row r="616">
      <x:c r="A616" s="54" t="n">
        <x:v>612</x:v>
      </x:c>
      <x:c r="B616" s="54" t="n">
        <x:v>2</x:v>
      </x:c>
      <x:c r="C616" s="54" t="n">
        <x:v>3</x:v>
      </x:c>
      <x:c r="D616" s="54" t="n">
        <x:v>0</x:v>
      </x:c>
      <x:c r="E616" s="54" t="n">
        <x:v>64146</x:v>
      </x:c>
      <x:c r="F616" s="54" t="n">
        <x:v>55489</x:v>
      </x:c>
      <x:c r="G616" s="54" t="n">
        <x:v>15678</x:v>
      </x:c>
      <x:c r="H616" s="54" t="n">
        <x:v>11728</x:v>
      </x:c>
      <x:c r="I616" s="54" t="n">
        <x:v>7623</x:v>
      </x:c>
      <x:c r="J616" s="54" t="n">
        <x:v>105</x:v>
      </x:c>
      <x:c r="K616" s="53" t="n">
        <x:v>8.671598</x:v>
      </x:c>
      <x:c r="L616" s="53" t="n">
        <x:v>42.0889</x:v>
      </x:c>
      <x:c r="M616" s="53" t="n">
        <x:v>-71.2597</x:v>
      </x:c>
      <x:c r="N616" s="54" t="n">
        <x:v>250</x:v>
      </x:c>
      <x:c r="O616" s="54" t="n">
        <x:v>0</x:v>
      </x:c>
    </x:row>
    <x:row r="617">
      <x:c r="A617" s="54" t="n">
        <x:v>613</x:v>
      </x:c>
      <x:c r="B617" s="54" t="n">
        <x:v>8</x:v>
      </x:c>
      <x:c r="C617" s="54" t="n">
        <x:v>15</x:v>
      </x:c>
      <x:c r="D617" s="54" t="n">
        <x:v>0</x:v>
      </x:c>
      <x:c r="E617" s="54" t="n">
        <x:v>80663</x:v>
      </x:c>
      <x:c r="F617" s="54" t="n">
        <x:v>75548</x:v>
      </x:c>
      <x:c r="G617" s="54" t="n">
        <x:v>22986</x:v>
      </x:c>
      <x:c r="H617" s="54" t="n">
        <x:v>36093</x:v>
      </x:c>
      <x:c r="I617" s="54" t="n">
        <x:v>19851</x:v>
      </x:c>
      <x:c r="J617" s="54" t="n">
        <x:v>78</x:v>
      </x:c>
      <x:c r="K617" s="53" t="n">
        <x:v>10.438681</x:v>
      </x:c>
      <x:c r="L617" s="53" t="n">
        <x:v>40.807664</x:v>
      </x:c>
      <x:c r="M617" s="53" t="n">
        <x:v>-74.069833</x:v>
      </x:c>
      <x:c r="N617" s="54" t="n">
        <x:v>250</x:v>
      </x:c>
      <x:c r="O617" s="54" t="n">
        <x:v>0</x:v>
      </x:c>
    </x:row>
    <x:row r="618">
      <x:c r="A618" s="54" t="n">
        <x:v>614</x:v>
      </x:c>
      <x:c r="B618" s="54" t="n">
        <x:v>8</x:v>
      </x:c>
      <x:c r="C618" s="54" t="n">
        <x:v>15</x:v>
      </x:c>
      <x:c r="D618" s="54" t="n">
        <x:v>1</x:v>
      </x:c>
      <x:c r="E618" s="54" t="n">
        <x:v>80663</x:v>
      </x:c>
      <x:c r="F618" s="54" t="n">
        <x:v>79673</x:v>
      </x:c>
      <x:c r="G618" s="54" t="n">
        <x:v>29800</x:v>
      </x:c>
      <x:c r="H618" s="54" t="n">
        <x:v>48468</x:v>
      </x:c>
      <x:c r="I618" s="54" t="n">
        <x:v>26657</x:v>
      </x:c>
      <x:c r="J618" s="54" t="n">
        <x:v>69</x:v>
      </x:c>
      <x:c r="K618" s="53" t="n">
        <x:v>10.438681</x:v>
      </x:c>
      <x:c r="L618" s="53" t="n">
        <x:v>40.807664</x:v>
      </x:c>
      <x:c r="M618" s="53" t="n">
        <x:v>-74.069833</x:v>
      </x:c>
      <x:c r="N618" s="54" t="n">
        <x:v>250</x:v>
      </x:c>
      <x:c r="O618" s="54" t="n">
        <x:v>1</x:v>
      </x:c>
    </x:row>
    <x:row r="619">
      <x:c r="A619" s="54" t="n">
        <x:v>615</x:v>
      </x:c>
      <x:c r="B619" s="54" t="n">
        <x:v>10</x:v>
      </x:c>
      <x:c r="C619" s="54" t="n">
        <x:v>19</x:v>
      </x:c>
      <x:c r="D619" s="54" t="n">
        <x:v>0</x:v>
      </x:c>
      <x:c r="E619" s="54" t="n">
        <x:v>68827</x:v>
      </x:c>
      <x:c r="F619" s="54" t="n">
        <x:v>62877</x:v>
      </x:c>
      <x:c r="G619" s="54" t="n">
        <x:v>34982</x:v>
      </x:c>
      <x:c r="H619" s="54" t="n">
        <x:v>19711</x:v>
      </x:c>
      <x:c r="I619" s="54" t="n">
        <x:v>12812</x:v>
      </x:c>
      <x:c r="J619" s="54" t="n">
        <x:v>76</x:v>
      </x:c>
      <x:c r="K619" s="53" t="n">
        <x:v>8.807888</x:v>
      </x:c>
      <x:c r="L619" s="53" t="n">
        <x:v>37.403468</x:v>
      </x:c>
      <x:c r="M619" s="53" t="n">
        <x:v>-121.974908</x:v>
      </x:c>
      <x:c r="N619" s="54" t="n">
        <x:v>250</x:v>
      </x:c>
      <x:c r="O619" s="54" t="n">
        <x:v>0</x:v>
      </x:c>
    </x:row>
    <x:row r="620">
      <x:c r="A620" s="54" t="n">
        <x:v>616</x:v>
      </x:c>
      <x:c r="B620" s="54" t="n">
        <x:v>5</x:v>
      </x:c>
      <x:c r="C620" s="54" t="n">
        <x:v>10</x:v>
      </x:c>
      <x:c r="D620" s="54" t="n">
        <x:v>0</x:v>
      </x:c>
      <x:c r="E620" s="54" t="n">
        <x:v>69045</x:v>
      </x:c>
      <x:c r="F620" s="54" t="n">
        <x:v>60266</x:v>
      </x:c>
      <x:c r="G620" s="54" t="n">
        <x:v>7101</x:v>
      </x:c>
      <x:c r="H620" s="54" t="n">
        <x:v>4821</x:v>
      </x:c>
      <x:c r="I620" s="54" t="n">
        <x:v>2169</x:v>
      </x:c>
      <x:c r="J620" s="54" t="n">
        <x:v>109</x:v>
      </x:c>
      <x:c r="K620" s="53" t="n">
        <x:v>8.632123</x:v>
      </x:c>
      <x:c r="L620" s="53" t="n">
        <x:v>39.0491</x:v>
      </x:c>
      <x:c r="M620" s="53" t="n">
        <x:v>-94.4871</x:v>
      </x:c>
      <x:c r="N620" s="54" t="n">
        <x:v>400</x:v>
      </x:c>
      <x:c r="O620" s="54" t="n">
        <x:v>0</x:v>
      </x:c>
    </x:row>
    <x:row r="621">
      <x:c r="A621" s="54" t="n">
        <x:v>617</x:v>
      </x:c>
      <x:c r="B621" s="54" t="n">
        <x:v>8</x:v>
      </x:c>
      <x:c r="C621" s="54" t="n">
        <x:v>16</x:v>
      </x:c>
      <x:c r="D621" s="54" t="n">
        <x:v>0</x:v>
      </x:c>
      <x:c r="E621" s="54" t="n">
        <x:v>80663</x:v>
      </x:c>
      <x:c r="F621" s="54" t="n">
        <x:v>66639</x:v>
      </x:c>
      <x:c r="G621" s="54" t="n">
        <x:v>16258</x:v>
      </x:c>
      <x:c r="H621" s="54" t="n">
        <x:v>36242</x:v>
      </x:c>
      <x:c r="I621" s="54" t="n">
        <x:v>16309</x:v>
      </x:c>
      <x:c r="J621" s="54" t="n">
        <x:v>46</x:v>
      </x:c>
      <x:c r="K621" s="53" t="n">
        <x:v>10.438681</x:v>
      </x:c>
      <x:c r="L621" s="53" t="n">
        <x:v>40.81145</x:v>
      </x:c>
      <x:c r="M621" s="53" t="n">
        <x:v>-74.07075</x:v>
      </x:c>
      <x:c r="N621" s="54" t="n">
        <x:v>350</x:v>
      </x:c>
      <x:c r="O621" s="54" t="n">
        <x:v>0</x:v>
      </x:c>
    </x:row>
    <x:row r="622">
      <x:c r="A622" s="54" t="n">
        <x:v>618</x:v>
      </x:c>
      <x:c r="B622" s="54" t="n">
        <x:v>11</x:v>
      </x:c>
      <x:c r="C622" s="54" t="n">
        <x:v>21</x:v>
      </x:c>
      <x:c r="D622" s="54" t="n">
        <x:v>0</x:v>
      </x:c>
      <x:c r="E622" s="54" t="n">
        <x:v>66925</x:v>
      </x:c>
      <x:c r="F622" s="54" t="n">
        <x:v>57100</x:v>
      </x:c>
      <x:c r="G622" s="54" t="n">
        <x:v>27478</x:v>
      </x:c>
      <x:c r="H622" s="54" t="n">
        <x:v>38506</x:v>
      </x:c>
      <x:c r="I622" s="54" t="n">
        <x:v>21178</x:v>
      </x:c>
      <x:c r="J622" s="54" t="n">
        <x:v>65</x:v>
      </x:c>
      <x:c r="K622" s="53" t="n">
        <x:v>8.408439</x:v>
      </x:c>
      <x:c r="L622" s="53" t="n">
        <x:v>47.5917</x:v>
      </x:c>
      <x:c r="M622" s="53" t="n">
        <x:v>-122.3272</x:v>
      </x:c>
      <x:c r="N622" s="54" t="n">
        <x:v>250</x:v>
      </x:c>
      <x:c r="O622" s="54" t="n">
        <x:v>1</x:v>
      </x:c>
    </x:row>
    <x:row r="623">
      <x:c r="A623" s="54" t="n">
        <x:v>619</x:v>
      </x:c>
      <x:c r="B623" s="54" t="n">
        <x:v>10</x:v>
      </x:c>
      <x:c r="C623" s="54" t="n">
        <x:v>19</x:v>
      </x:c>
      <x:c r="D623" s="54" t="n">
        <x:v>0</x:v>
      </x:c>
      <x:c r="E623" s="54" t="n">
        <x:v>68827</x:v>
      </x:c>
      <x:c r="F623" s="54" t="n">
        <x:v>54160</x:v>
      </x:c>
      <x:c r="G623" s="54" t="n">
        <x:v>23745</x:v>
      </x:c>
      <x:c r="H623" s="54" t="n">
        <x:v>24564</x:v>
      </x:c>
      <x:c r="I623" s="54" t="n">
        <x:v>15967</x:v>
      </x:c>
      <x:c r="J623" s="54" t="n">
        <x:v>91</x:v>
      </x:c>
      <x:c r="K623" s="53" t="n">
        <x:v>8.807888</x:v>
      </x:c>
      <x:c r="L623" s="53" t="n">
        <x:v>37.403468</x:v>
      </x:c>
      <x:c r="M623" s="53" t="n">
        <x:v>-121.974908</x:v>
      </x:c>
      <x:c r="N623" s="54" t="n">
        <x:v>250</x:v>
      </x:c>
      <x:c r="O623" s="54" t="n">
        <x:v>0</x:v>
      </x:c>
    </x:row>
    <x:row r="624">
      <x:c r="A624" s="54" t="n">
        <x:v>620</x:v>
      </x:c>
      <x:c r="B624" s="54" t="n">
        <x:v>10</x:v>
      </x:c>
      <x:c r="C624" s="54" t="n">
        <x:v>19</x:v>
      </x:c>
      <x:c r="D624" s="54" t="n">
        <x:v>0</x:v>
      </x:c>
      <x:c r="E624" s="54" t="n">
        <x:v>68827</x:v>
      </x:c>
      <x:c r="F624" s="54" t="n">
        <x:v>63226</x:v>
      </x:c>
      <x:c r="G624" s="54" t="n">
        <x:v>32494</x:v>
      </x:c>
      <x:c r="H624" s="54" t="n">
        <x:v>21460</x:v>
      </x:c>
      <x:c r="I624" s="54" t="n">
        <x:v>13949</x:v>
      </x:c>
      <x:c r="J624" s="54" t="n">
        <x:v>84</x:v>
      </x:c>
      <x:c r="K624" s="53" t="n">
        <x:v>8.807888</x:v>
      </x:c>
      <x:c r="L624" s="53" t="n">
        <x:v>37.403468</x:v>
      </x:c>
      <x:c r="M624" s="53" t="n">
        <x:v>-121.974908</x:v>
      </x:c>
      <x:c r="N624" s="54" t="n">
        <x:v>250</x:v>
      </x:c>
      <x:c r="O624" s="54" t="n">
        <x:v>1</x:v>
      </x:c>
    </x:row>
    <x:row r="625">
      <x:c r="A625" s="54" t="n">
        <x:v>621</x:v>
      </x:c>
      <x:c r="B625" s="54" t="n">
        <x:v>3</x:v>
      </x:c>
      <x:c r="C625" s="54" t="n">
        <x:v>6</x:v>
      </x:c>
      <x:c r="D625" s="54" t="n">
        <x:v>0</x:v>
      </x:c>
      <x:c r="E625" s="54" t="n">
        <x:v>70649</x:v>
      </x:c>
      <x:c r="F625" s="54" t="n">
        <x:v>59810</x:v>
      </x:c>
      <x:c r="G625" s="54" t="n">
        <x:v>11946</x:v>
      </x:c>
      <x:c r="H625" s="54" t="n">
        <x:v>10432</x:v>
      </x:c>
      <x:c r="I625" s="54" t="n">
        <x:v>4694</x:v>
      </x:c>
      <x:c r="J625" s="54" t="n">
        <x:v>112</x:v>
      </x:c>
      <x:c r="K625" s="53" t="n">
        <x:v>10.033037</x:v>
      </x:c>
      <x:c r="L625" s="53" t="n">
        <x:v>32.7506</x:v>
      </x:c>
      <x:c r="M625" s="53" t="n">
        <x:v>-97.0915</x:v>
      </x:c>
      <x:c r="N625" s="54" t="n">
        <x:v>350</x:v>
      </x:c>
      <x:c r="O625" s="54" t="n">
        <x:v>0</x:v>
      </x:c>
    </x:row>
    <x:row r="626">
      <x:c r="A626" s="54" t="n">
        <x:v>622</x:v>
      </x:c>
      <x:c r="B626" s="54" t="n">
        <x:v>9</x:v>
      </x:c>
      <x:c r="C626" s="54" t="n">
        <x:v>17</x:v>
      </x:c>
      <x:c r="D626" s="54" t="n">
        <x:v>3</x:v>
      </x:c>
      <x:c r="E626" s="54" t="n">
        <x:v>68324</x:v>
      </x:c>
      <x:c r="F626" s="54" t="n">
        <x:v>62286</x:v>
      </x:c>
      <x:c r="G626" s="54" t="n">
        <x:v>26608</x:v>
      </x:c>
      <x:c r="H626" s="54" t="n">
        <x:v>32865</x:v>
      </x:c>
      <x:c r="I626" s="54" t="n">
        <x:v>19719</x:v>
      </x:c>
      <x:c r="J626" s="54" t="n">
        <x:v>76</x:v>
      </x:c>
      <x:c r="K626" s="53" t="n">
        <x:v>8.474327</x:v>
      </x:c>
      <x:c r="L626" s="53" t="n">
        <x:v>39.9047</x:v>
      </x:c>
      <x:c r="M626" s="53" t="n">
        <x:v>-75.1736</x:v>
      </x:c>
      <x:c r="N626" s="54" t="n">
        <x:v>250</x:v>
      </x:c>
      <x:c r="O626" s="54" t="n">
        <x:v>1</x:v>
      </x:c>
    </x:row>
    <x:row r="627">
      <x:c r="A627" s="54" t="n">
        <x:v>623</x:v>
      </x:c>
      <x:c r="B627" s="54" t="n">
        <x:v>2</x:v>
      </x:c>
      <x:c r="C627" s="54" t="n">
        <x:v>4</x:v>
      </x:c>
      <x:c r="D627" s="54" t="n">
        <x:v>0</x:v>
      </x:c>
      <x:c r="E627" s="54" t="n">
        <x:v>64146</x:v>
      </x:c>
      <x:c r="F627" s="54" t="n">
        <x:v>55170</x:v>
      </x:c>
      <x:c r="G627" s="54" t="n">
        <x:v>10193</x:v>
      </x:c>
      <x:c r="H627" s="54" t="n">
        <x:v>12840</x:v>
      </x:c>
      <x:c r="I627" s="54" t="n">
        <x:v>4494</x:v>
      </x:c>
      <x:c r="J627" s="54" t="n">
        <x:v>92</x:v>
      </x:c>
      <x:c r="K627" s="53" t="n">
        <x:v>8.671598</x:v>
      </x:c>
      <x:c r="L627" s="53" t="n">
        <x:v>42.0916</x:v>
      </x:c>
      <x:c r="M627" s="53" t="n">
        <x:v>-71.2648</x:v>
      </x:c>
      <x:c r="N627" s="54" t="n">
        <x:v>300</x:v>
      </x:c>
      <x:c r="O627" s="54" t="n">
        <x:v>0</x:v>
      </x:c>
    </x:row>
    <x:row r="628">
      <x:c r="A628" s="54" t="n">
        <x:v>624</x:v>
      </x:c>
      <x:c r="B628" s="54" t="n">
        <x:v>4</x:v>
      </x:c>
      <x:c r="C628" s="54" t="n">
        <x:v>7</x:v>
      </x:c>
      <x:c r="D628" s="54" t="n">
        <x:v>0</x:v>
      </x:c>
      <x:c r="E628" s="54" t="n">
        <x:v>68777</x:v>
      </x:c>
      <x:c r="F628" s="54" t="n">
        <x:v>57861</x:v>
      </x:c>
      <x:c r="G628" s="54" t="n">
        <x:v>18072</x:v>
      </x:c>
      <x:c r="H628" s="54" t="n">
        <x:v>23229</x:v>
      </x:c>
      <x:c r="I628" s="54" t="n">
        <x:v>13937</x:v>
      </x:c>
      <x:c r="J628" s="54" t="n">
        <x:v>84</x:v>
      </x:c>
      <x:c r="K628" s="53" t="n">
        <x:v>9.092387</x:v>
      </x:c>
      <x:c r="L628" s="53" t="n">
        <x:v>29.6852</x:v>
      </x:c>
      <x:c r="M628" s="53" t="n">
        <x:v>-95.407</x:v>
      </x:c>
      <x:c r="N628" s="54" t="n">
        <x:v>250</x:v>
      </x:c>
      <x:c r="O628" s="54" t="n">
        <x:v>0</x:v>
      </x:c>
    </x:row>
    <x:row r="629">
      <x:c r="A629" s="54" t="n">
        <x:v>625</x:v>
      </x:c>
      <x:c r="B629" s="54" t="n">
        <x:v>6</x:v>
      </x:c>
      <x:c r="C629" s="54" t="n">
        <x:v>11</x:v>
      </x:c>
      <x:c r="D629" s="54" t="n">
        <x:v>1</x:v>
      </x:c>
      <x:c r="E629" s="54" t="n">
        <x:v>70492</x:v>
      </x:c>
      <x:c r="F629" s="54" t="n">
        <x:v>67486</x:v>
      </x:c>
      <x:c r="G629" s="54" t="n">
        <x:v>26042</x:v>
      </x:c>
      <x:c r="H629" s="54" t="n">
        <x:v>5859</x:v>
      </x:c>
      <x:c r="I629" s="54" t="n">
        <x:v>2930</x:v>
      </x:c>
      <x:c r="J629" s="54" t="n">
        <x:v>112</x:v>
      </x:c>
      <x:c r="K629" s="53" t="n">
        <x:v>9.603284</x:v>
      </x:c>
      <x:c r="L629" s="53" t="n">
        <x:v>33.9509</x:v>
      </x:c>
      <x:c r="M629" s="53" t="n">
        <x:v>-118.3441</x:v>
      </x:c>
      <x:c r="N629" s="54" t="n">
        <x:v>350</x:v>
      </x:c>
      <x:c r="O629" s="54" t="n">
        <x:v>1</x:v>
      </x:c>
    </x:row>
    <x:row r="630">
      <x:c r="A630" s="54" t="n">
        <x:v>626</x:v>
      </x:c>
      <x:c r="B630" s="54" t="n">
        <x:v>5</x:v>
      </x:c>
      <x:c r="C630" s="54" t="n">
        <x:v>10</x:v>
      </x:c>
      <x:c r="D630" s="54" t="n">
        <x:v>1</x:v>
      </x:c>
      <x:c r="E630" s="54" t="n">
        <x:v>69045</x:v>
      </x:c>
      <x:c r="F630" s="54" t="n">
        <x:v>58177</x:v>
      </x:c>
      <x:c r="G630" s="54" t="n">
        <x:v>6009</x:v>
      </x:c>
      <x:c r="H630" s="54" t="n">
        <x:v>6852</x:v>
      </x:c>
      <x:c r="I630" s="54" t="n">
        <x:v>3083</x:v>
      </x:c>
      <x:c r="J630" s="54" t="n">
        <x:v>109</x:v>
      </x:c>
      <x:c r="K630" s="53" t="n">
        <x:v>8.632123</x:v>
      </x:c>
      <x:c r="L630" s="53" t="n">
        <x:v>39.0491</x:v>
      </x:c>
      <x:c r="M630" s="53" t="n">
        <x:v>-94.4871</x:v>
      </x:c>
      <x:c r="N630" s="54" t="n">
        <x:v>400</x:v>
      </x:c>
      <x:c r="O630" s="54" t="n">
        <x:v>0</x:v>
      </x:c>
    </x:row>
    <x:row r="631">
      <x:c r="A631" s="54" t="n">
        <x:v>627</x:v>
      </x:c>
      <x:c r="B631" s="54" t="n">
        <x:v>3</x:v>
      </x:c>
      <x:c r="C631" s="54" t="n">
        <x:v>6</x:v>
      </x:c>
      <x:c r="D631" s="54" t="n">
        <x:v>1</x:v>
      </x:c>
      <x:c r="E631" s="54" t="n">
        <x:v>70649</x:v>
      </x:c>
      <x:c r="F631" s="54" t="n">
        <x:v>66365</x:v>
      </x:c>
      <x:c r="G631" s="54" t="n">
        <x:v>14123</x:v>
      </x:c>
      <x:c r="H631" s="54" t="n">
        <x:v>9911</x:v>
      </x:c>
      <x:c r="I631" s="54" t="n">
        <x:v>4460</x:v>
      </x:c>
      <x:c r="J631" s="54" t="n">
        <x:v>112</x:v>
      </x:c>
      <x:c r="K631" s="53" t="n">
        <x:v>10.033037</x:v>
      </x:c>
      <x:c r="L631" s="53" t="n">
        <x:v>32.7506</x:v>
      </x:c>
      <x:c r="M631" s="53" t="n">
        <x:v>-97.0915</x:v>
      </x:c>
      <x:c r="N631" s="54" t="n">
        <x:v>350</x:v>
      </x:c>
      <x:c r="O631" s="54" t="n">
        <x:v>0</x:v>
      </x:c>
    </x:row>
    <x:row r="632">
      <x:c r="A632" s="54" t="n">
        <x:v>628</x:v>
      </x:c>
      <x:c r="B632" s="54" t="n">
        <x:v>10</x:v>
      </x:c>
      <x:c r="C632" s="54" t="n">
        <x:v>19</x:v>
      </x:c>
      <x:c r="D632" s="54" t="n">
        <x:v>0</x:v>
      </x:c>
      <x:c r="E632" s="54" t="n">
        <x:v>68827</x:v>
      </x:c>
      <x:c r="F632" s="54" t="n">
        <x:v>68689</x:v>
      </x:c>
      <x:c r="G632" s="54" t="n">
        <x:v>39958</x:v>
      </x:c>
      <x:c r="H632" s="54" t="n">
        <x:v>27197</x:v>
      </x:c>
      <x:c r="I632" s="54" t="n">
        <x:v>17678</x:v>
      </x:c>
      <x:c r="J632" s="54" t="n">
        <x:v>101</x:v>
      </x:c>
      <x:c r="K632" s="53" t="n">
        <x:v>8.807888</x:v>
      </x:c>
      <x:c r="L632" s="53" t="n">
        <x:v>37.403468</x:v>
      </x:c>
      <x:c r="M632" s="53" t="n">
        <x:v>-121.974908</x:v>
      </x:c>
      <x:c r="N632" s="54" t="n">
        <x:v>250</x:v>
      </x:c>
      <x:c r="O632" s="54" t="n">
        <x:v>1</x:v>
      </x:c>
    </x:row>
    <x:row r="633">
      <x:c r="A633" s="54" t="n">
        <x:v>629</x:v>
      </x:c>
      <x:c r="B633" s="54" t="n">
        <x:v>9</x:v>
      </x:c>
      <x:c r="C633" s="54" t="n">
        <x:v>17</x:v>
      </x:c>
      <x:c r="D633" s="54" t="n">
        <x:v>0</x:v>
      </x:c>
      <x:c r="E633" s="54" t="n">
        <x:v>68324</x:v>
      </x:c>
      <x:c r="F633" s="54" t="n">
        <x:v>54091</x:v>
      </x:c>
      <x:c r="G633" s="54" t="n">
        <x:v>23467</x:v>
      </x:c>
      <x:c r="H633" s="54" t="n">
        <x:v>24786</x:v>
      </x:c>
      <x:c r="I633" s="54" t="n">
        <x:v>14872</x:v>
      </x:c>
      <x:c r="J633" s="54" t="n">
        <x:v>80</x:v>
      </x:c>
      <x:c r="K633" s="53" t="n">
        <x:v>8.474327</x:v>
      </x:c>
      <x:c r="L633" s="53" t="n">
        <x:v>39.9047</x:v>
      </x:c>
      <x:c r="M633" s="53" t="n">
        <x:v>-75.1736</x:v>
      </x:c>
      <x:c r="N633" s="54" t="n">
        <x:v>250</x:v>
      </x:c>
      <x:c r="O633" s="54" t="n">
        <x:v>0</x:v>
      </x:c>
    </x:row>
    <x:row r="634">
      <x:c r="A634" s="54" t="n">
        <x:v>630</x:v>
      </x:c>
      <x:c r="B634" s="54" t="n">
        <x:v>9</x:v>
      </x:c>
      <x:c r="C634" s="54" t="n">
        <x:v>17</x:v>
      </x:c>
      <x:c r="D634" s="54" t="n">
        <x:v>1</x:v>
      </x:c>
      <x:c r="E634" s="54" t="n">
        <x:v>68324</x:v>
      </x:c>
      <x:c r="F634" s="54" t="n">
        <x:v>57744</x:v>
      </x:c>
      <x:c r="G634" s="54" t="n">
        <x:v>31098</x:v>
      </x:c>
      <x:c r="H634" s="54" t="n">
        <x:v>23144</x:v>
      </x:c>
      <x:c r="I634" s="54" t="n">
        <x:v>13886</x:v>
      </x:c>
      <x:c r="J634" s="54" t="n">
        <x:v>83</x:v>
      </x:c>
      <x:c r="K634" s="53" t="n">
        <x:v>8.474327</x:v>
      </x:c>
      <x:c r="L634" s="53" t="n">
        <x:v>39.9047</x:v>
      </x:c>
      <x:c r="M634" s="53" t="n">
        <x:v>-75.1736</x:v>
      </x:c>
      <x:c r="N634" s="54" t="n">
        <x:v>250</x:v>
      </x:c>
      <x:c r="O634" s="54" t="n">
        <x:v>1</x:v>
      </x:c>
    </x:row>
    <x:row r="635">
      <x:c r="A635" s="54" t="n">
        <x:v>631</x:v>
      </x:c>
      <x:c r="B635" s="54" t="n">
        <x:v>3</x:v>
      </x:c>
      <x:c r="C635" s="54" t="n">
        <x:v>6</x:v>
      </x:c>
      <x:c r="D635" s="54" t="n">
        <x:v>0</x:v>
      </x:c>
      <x:c r="E635" s="54" t="n">
        <x:v>70649</x:v>
      </x:c>
      <x:c r="F635" s="54" t="n">
        <x:v>54498</x:v>
      </x:c>
      <x:c r="G635" s="54" t="n">
        <x:v>6411</x:v>
      </x:c>
      <x:c r="H635" s="54" t="n">
        <x:v>8867</x:v>
      </x:c>
      <x:c r="I635" s="54" t="n">
        <x:v>3990</x:v>
      </x:c>
      <x:c r="J635" s="54" t="n">
        <x:v>104</x:v>
      </x:c>
      <x:c r="K635" s="53" t="n">
        <x:v>10.033037</x:v>
      </x:c>
      <x:c r="L635" s="53" t="n">
        <x:v>32.7506</x:v>
      </x:c>
      <x:c r="M635" s="53" t="n">
        <x:v>-97.0915</x:v>
      </x:c>
      <x:c r="N635" s="54" t="n">
        <x:v>350</x:v>
      </x:c>
      <x:c r="O635" s="54" t="n">
        <x:v>0</x:v>
      </x:c>
    </x:row>
    <x:row r="636">
      <x:c r="A636" s="54" t="n">
        <x:v>632</x:v>
      </x:c>
      <x:c r="B636" s="54" t="n">
        <x:v>1</x:v>
      </x:c>
      <x:c r="C636" s="54" t="n">
        <x:v>1</x:v>
      </x:c>
      <x:c r="D636" s="54" t="n">
        <x:v>0</x:v>
      </x:c>
      <x:c r="E636" s="54" t="n">
        <x:v>68239</x:v>
      </x:c>
      <x:c r="F636" s="54" t="n">
        <x:v>59631</x:v>
      </x:c>
      <x:c r="G636" s="54" t="n">
        <x:v>28426</x:v>
      </x:c>
      <x:c r="H636" s="54" t="n">
        <x:v>27716</x:v>
      </x:c>
      <x:c r="I636" s="54" t="n">
        <x:v>16075</x:v>
      </x:c>
      <x:c r="J636" s="54" t="n">
        <x:v>66</x:v>
      </x:c>
      <x:c r="K636" s="53" t="n">
        <x:v>9.391018</x:v>
      </x:c>
      <x:c r="L636" s="53" t="n">
        <x:v>33.7565</x:v>
      </x:c>
      <x:c r="M636" s="53" t="n">
        <x:v>-84.4038</x:v>
      </x:c>
      <x:c r="N636" s="54" t="n">
        <x:v>250</x:v>
      </x:c>
      <x:c r="O636" s="54" t="n">
        <x:v>0</x:v>
      </x:c>
    </x:row>
    <x:row r="637">
      <x:c r="A637" s="54" t="n">
        <x:v>633</x:v>
      </x:c>
      <x:c r="B637" s="54" t="n">
        <x:v>6</x:v>
      </x:c>
      <x:c r="C637" s="54" t="n">
        <x:v>11</x:v>
      </x:c>
      <x:c r="D637" s="54" t="n">
        <x:v>3</x:v>
      </x:c>
      <x:c r="E637" s="54" t="n">
        <x:v>70492</x:v>
      </x:c>
      <x:c r="F637" s="54" t="n">
        <x:v>62497</x:v>
      </x:c>
      <x:c r="G637" s="54" t="n">
        <x:v>28539</x:v>
      </x:c>
      <x:c r="H637" s="54" t="n">
        <x:v>17055</x:v>
      </x:c>
      <x:c r="I637" s="54" t="n">
        <x:v>8528</x:v>
      </x:c>
      <x:c r="J637" s="54" t="n">
        <x:v>141</x:v>
      </x:c>
      <x:c r="K637" s="53" t="n">
        <x:v>9.603284</x:v>
      </x:c>
      <x:c r="L637" s="53" t="n">
        <x:v>33.9509</x:v>
      </x:c>
      <x:c r="M637" s="53" t="n">
        <x:v>-118.3441</x:v>
      </x:c>
      <x:c r="N637" s="54" t="n">
        <x:v>350</x:v>
      </x:c>
      <x:c r="O637" s="54" t="n">
        <x:v>1</x:v>
      </x:c>
    </x:row>
    <x:row r="638">
      <x:c r="A638" s="54" t="n">
        <x:v>634</x:v>
      </x:c>
      <x:c r="B638" s="54" t="n">
        <x:v>11</x:v>
      </x:c>
      <x:c r="C638" s="54" t="n">
        <x:v>21</x:v>
      </x:c>
      <x:c r="D638" s="54" t="n">
        <x:v>0</x:v>
      </x:c>
      <x:c r="E638" s="54" t="n">
        <x:v>66925</x:v>
      </x:c>
      <x:c r="F638" s="54" t="n">
        <x:v>59063</x:v>
      </x:c>
      <x:c r="G638" s="54" t="n">
        <x:v>37917</x:v>
      </x:c>
      <x:c r="H638" s="54" t="n">
        <x:v>30815</x:v>
      </x:c>
      <x:c r="I638" s="54" t="n">
        <x:v>16948</x:v>
      </x:c>
      <x:c r="J638" s="54" t="n">
        <x:v>72</x:v>
      </x:c>
      <x:c r="K638" s="53" t="n">
        <x:v>8.408439</x:v>
      </x:c>
      <x:c r="L638" s="53" t="n">
        <x:v>47.5917</x:v>
      </x:c>
      <x:c r="M638" s="53" t="n">
        <x:v>-122.3272</x:v>
      </x:c>
      <x:c r="N638" s="54" t="n">
        <x:v>250</x:v>
      </x:c>
      <x:c r="O638" s="54" t="n">
        <x:v>1</x:v>
      </x:c>
    </x:row>
    <x:row r="639">
      <x:c r="A639" s="54" t="n">
        <x:v>635</x:v>
      </x:c>
      <x:c r="B639" s="54" t="n">
        <x:v>7</x:v>
      </x:c>
      <x:c r="C639" s="54" t="n">
        <x:v>14</x:v>
      </x:c>
      <x:c r="D639" s="54" t="n">
        <x:v>1</x:v>
      </x:c>
      <x:c r="E639" s="54" t="n">
        <x:v>64478</x:v>
      </x:c>
      <x:c r="F639" s="54" t="n">
        <x:v>52284</x:v>
      </x:c>
      <x:c r="G639" s="54" t="n">
        <x:v>10689</x:v>
      </x:c>
      <x:c r="H639" s="54" t="n">
        <x:v>6647</x:v>
      </x:c>
      <x:c r="I639" s="54" t="n">
        <x:v>2991</x:v>
      </x:c>
      <x:c r="J639" s="54" t="n">
        <x:v>127</x:v>
      </x:c>
      <x:c r="K639" s="53" t="n">
        <x:v>8.69743</x:v>
      </x:c>
      <x:c r="L639" s="53" t="n">
        <x:v>25.9549</x:v>
      </x:c>
      <x:c r="M639" s="53" t="n">
        <x:v>-80.2383</x:v>
      </x:c>
      <x:c r="N639" s="54" t="n">
        <x:v>350</x:v>
      </x:c>
      <x:c r="O639" s="54" t="n">
        <x:v>0</x:v>
      </x:c>
    </x:row>
    <x:row r="640">
      <x:c r="A640" s="54" t="n">
        <x:v>636</x:v>
      </x:c>
      <x:c r="B640" s="54" t="n">
        <x:v>4</x:v>
      </x:c>
      <x:c r="C640" s="54" t="n">
        <x:v>8</x:v>
      </x:c>
      <x:c r="D640" s="54" t="n">
        <x:v>0</x:v>
      </x:c>
      <x:c r="E640" s="54" t="n">
        <x:v>68777</x:v>
      </x:c>
      <x:c r="F640" s="54" t="n">
        <x:v>57491</x:v>
      </x:c>
      <x:c r="G640" s="54" t="n">
        <x:v>11519</x:v>
      </x:c>
      <x:c r="H640" s="54" t="n">
        <x:v>18010</x:v>
      </x:c>
      <x:c r="I640" s="54" t="n">
        <x:v>7204</x:v>
      </x:c>
      <x:c r="J640" s="54" t="n">
        <x:v>61</x:v>
      </x:c>
      <x:c r="K640" s="53" t="n">
        <x:v>9.092387</x:v>
      </x:c>
      <x:c r="L640" s="53" t="n">
        <x:v>29.6846</x:v>
      </x:c>
      <x:c r="M640" s="53" t="n">
        <x:v>-95.4141</x:v>
      </x:c>
      <x:c r="N640" s="54" t="n">
        <x:v>300</x:v>
      </x:c>
      <x:c r="O640" s="54" t="n">
        <x:v>0</x:v>
      </x:c>
    </x:row>
    <x:row r="641">
      <x:c r="A641" s="54" t="n">
        <x:v>637</x:v>
      </x:c>
      <x:c r="B641" s="54" t="n">
        <x:v>2</x:v>
      </x:c>
      <x:c r="C641" s="54" t="n">
        <x:v>3</x:v>
      </x:c>
      <x:c r="D641" s="54" t="n">
        <x:v>4</x:v>
      </x:c>
      <x:c r="E641" s="54" t="n">
        <x:v>64146</x:v>
      </x:c>
      <x:c r="F641" s="54" t="n">
        <x:v>64018</x:v>
      </x:c>
      <x:c r="G641" s="54" t="n">
        <x:v>20022</x:v>
      </x:c>
      <x:c r="H641" s="54" t="n">
        <x:v>20058</x:v>
      </x:c>
      <x:c r="I641" s="54" t="n">
        <x:v>13038</x:v>
      </x:c>
      <x:c r="J641" s="54" t="n">
        <x:v>116</x:v>
      </x:c>
      <x:c r="K641" s="53" t="n">
        <x:v>8.671598</x:v>
      </x:c>
      <x:c r="L641" s="53" t="n">
        <x:v>42.0889</x:v>
      </x:c>
      <x:c r="M641" s="53" t="n">
        <x:v>-71.2597</x:v>
      </x:c>
      <x:c r="N641" s="54" t="n">
        <x:v>250</x:v>
      </x:c>
      <x:c r="O641" s="54" t="n">
        <x:v>1</x:v>
      </x:c>
    </x:row>
    <x:row r="642">
      <x:c r="A642" s="54" t="n">
        <x:v>638</x:v>
      </x:c>
      <x:c r="B642" s="54" t="n">
        <x:v>11</x:v>
      </x:c>
      <x:c r="C642" s="54" t="n">
        <x:v>21</x:v>
      </x:c>
      <x:c r="D642" s="54" t="n">
        <x:v>0</x:v>
      </x:c>
      <x:c r="E642" s="54" t="n">
        <x:v>66925</x:v>
      </x:c>
      <x:c r="F642" s="54" t="n">
        <x:v>57649</x:v>
      </x:c>
      <x:c r="G642" s="54" t="n">
        <x:v>26762</x:v>
      </x:c>
      <x:c r="H642" s="54" t="n">
        <x:v>32659</x:v>
      </x:c>
      <x:c r="I642" s="54" t="n">
        <x:v>17962</x:v>
      </x:c>
      <x:c r="J642" s="54" t="n">
        <x:v>65</x:v>
      </x:c>
      <x:c r="K642" s="53" t="n">
        <x:v>8.408439</x:v>
      </x:c>
      <x:c r="L642" s="53" t="n">
        <x:v>47.5917</x:v>
      </x:c>
      <x:c r="M642" s="53" t="n">
        <x:v>-122.3272</x:v>
      </x:c>
      <x:c r="N642" s="54" t="n">
        <x:v>250</x:v>
      </x:c>
      <x:c r="O642" s="54" t="n">
        <x:v>1</x:v>
      </x:c>
    </x:row>
    <x:row r="643">
      <x:c r="A643" s="54" t="n">
        <x:v>639</x:v>
      </x:c>
      <x:c r="B643" s="54" t="n">
        <x:v>5</x:v>
      </x:c>
      <x:c r="C643" s="54" t="n">
        <x:v>10</x:v>
      </x:c>
      <x:c r="D643" s="54" t="n">
        <x:v>2</x:v>
      </x:c>
      <x:c r="E643" s="54" t="n">
        <x:v>69045</x:v>
      </x:c>
      <x:c r="F643" s="54" t="n">
        <x:v>63466</x:v>
      </x:c>
      <x:c r="G643" s="54" t="n">
        <x:v>5743</x:v>
      </x:c>
      <x:c r="H643" s="54" t="n">
        <x:v>5077</x:v>
      </x:c>
      <x:c r="I643" s="54" t="n">
        <x:v>2285</x:v>
      </x:c>
      <x:c r="J643" s="54" t="n">
        <x:v>120</x:v>
      </x:c>
      <x:c r="K643" s="53" t="n">
        <x:v>8.632123</x:v>
      </x:c>
      <x:c r="L643" s="53" t="n">
        <x:v>39.0491</x:v>
      </x:c>
      <x:c r="M643" s="53" t="n">
        <x:v>-94.4871</x:v>
      </x:c>
      <x:c r="N643" s="54" t="n">
        <x:v>400</x:v>
      </x:c>
      <x:c r="O643" s="54" t="n">
        <x:v>0</x:v>
      </x:c>
    </x:row>
    <x:row r="644">
      <x:c r="A644" s="54" t="n">
        <x:v>640</x:v>
      </x:c>
      <x:c r="B644" s="54" t="n">
        <x:v>11</x:v>
      </x:c>
      <x:c r="C644" s="54" t="n">
        <x:v>21</x:v>
      </x:c>
      <x:c r="D644" s="54" t="n">
        <x:v>0</x:v>
      </x:c>
      <x:c r="E644" s="54" t="n">
        <x:v>66925</x:v>
      </x:c>
      <x:c r="F644" s="54" t="n">
        <x:v>55005</x:v>
      </x:c>
      <x:c r="G644" s="54" t="n">
        <x:v>27183</x:v>
      </x:c>
      <x:c r="H644" s="54" t="n">
        <x:v>29976</x:v>
      </x:c>
      <x:c r="I644" s="54" t="n">
        <x:v>16487</x:v>
      </x:c>
      <x:c r="J644" s="54" t="n">
        <x:v>62</x:v>
      </x:c>
      <x:c r="K644" s="53" t="n">
        <x:v>8.408439</x:v>
      </x:c>
      <x:c r="L644" s="53" t="n">
        <x:v>47.5917</x:v>
      </x:c>
      <x:c r="M644" s="53" t="n">
        <x:v>-122.3272</x:v>
      </x:c>
      <x:c r="N644" s="54" t="n">
        <x:v>250</x:v>
      </x:c>
      <x:c r="O644" s="54" t="n">
        <x:v>0</x:v>
      </x:c>
    </x:row>
    <x:row r="645">
      <x:c r="A645" s="54" t="n">
        <x:v>641</x:v>
      </x:c>
      <x:c r="B645" s="54" t="n">
        <x:v>6</x:v>
      </x:c>
      <x:c r="C645" s="54" t="n">
        <x:v>11</x:v>
      </x:c>
      <x:c r="D645" s="54" t="n">
        <x:v>0</x:v>
      </x:c>
      <x:c r="E645" s="54" t="n">
        <x:v>70492</x:v>
      </x:c>
      <x:c r="F645" s="54" t="n">
        <x:v>61774</x:v>
      </x:c>
      <x:c r="G645" s="54" t="n">
        <x:v>27612</x:v>
      </x:c>
      <x:c r="H645" s="54" t="n">
        <x:v>15257</x:v>
      </x:c>
      <x:c r="I645" s="54" t="n">
        <x:v>7629</x:v>
      </x:c>
      <x:c r="J645" s="54" t="n">
        <x:v>103</x:v>
      </x:c>
      <x:c r="K645" s="53" t="n">
        <x:v>9.603284</x:v>
      </x:c>
      <x:c r="L645" s="53" t="n">
        <x:v>33.9509</x:v>
      </x:c>
      <x:c r="M645" s="53" t="n">
        <x:v>-118.3441</x:v>
      </x:c>
      <x:c r="N645" s="54" t="n">
        <x:v>350</x:v>
      </x:c>
      <x:c r="O645" s="54" t="n">
        <x:v>1</x:v>
      </x:c>
    </x:row>
    <x:row r="646">
      <x:c r="A646" s="54" t="n">
        <x:v>642</x:v>
      </x:c>
      <x:c r="B646" s="54" t="n">
        <x:v>1</x:v>
      </x:c>
      <x:c r="C646" s="54" t="n">
        <x:v>1</x:v>
      </x:c>
      <x:c r="D646" s="54" t="n">
        <x:v>0</x:v>
      </x:c>
      <x:c r="E646" s="54" t="n">
        <x:v>68239</x:v>
      </x:c>
      <x:c r="F646" s="54" t="n">
        <x:v>57250</x:v>
      </x:c>
      <x:c r="G646" s="54" t="n">
        <x:v>29770</x:v>
      </x:c>
      <x:c r="H646" s="54" t="n">
        <x:v>19418</x:v>
      </x:c>
      <x:c r="I646" s="54" t="n">
        <x:v>11262</x:v>
      </x:c>
      <x:c r="J646" s="54" t="n">
        <x:v>58</x:v>
      </x:c>
      <x:c r="K646" s="53" t="n">
        <x:v>9.391018</x:v>
      </x:c>
      <x:c r="L646" s="53" t="n">
        <x:v>33.7565</x:v>
      </x:c>
      <x:c r="M646" s="53" t="n">
        <x:v>-84.4038</x:v>
      </x:c>
      <x:c r="N646" s="54" t="n">
        <x:v>250</x:v>
      </x:c>
      <x:c r="O646" s="54" t="n">
        <x:v>0</x:v>
      </x:c>
    </x:row>
    <x:row r="647">
      <x:c r="A647" s="54" t="n">
        <x:v>643</x:v>
      </x:c>
      <x:c r="B647" s="54" t="n">
        <x:v>2</x:v>
      </x:c>
      <x:c r="C647" s="54" t="n">
        <x:v>4</x:v>
      </x:c>
      <x:c r="D647" s="54" t="n">
        <x:v>2</x:v>
      </x:c>
      <x:c r="E647" s="54" t="n">
        <x:v>64146</x:v>
      </x:c>
      <x:c r="F647" s="54" t="n">
        <x:v>56013</x:v>
      </x:c>
      <x:c r="G647" s="54" t="n">
        <x:v>13222</x:v>
      </x:c>
      <x:c r="H647" s="54" t="n">
        <x:v>8755</x:v>
      </x:c>
      <x:c r="I647" s="54" t="n">
        <x:v>3064</x:v>
      </x:c>
      <x:c r="J647" s="54" t="n">
        <x:v>100</x:v>
      </x:c>
      <x:c r="K647" s="53" t="n">
        <x:v>8.671598</x:v>
      </x:c>
      <x:c r="L647" s="53" t="n">
        <x:v>42.0916</x:v>
      </x:c>
      <x:c r="M647" s="53" t="n">
        <x:v>-71.2648</x:v>
      </x:c>
      <x:c r="N647" s="54" t="n">
        <x:v>300</x:v>
      </x:c>
      <x:c r="O647" s="54" t="n">
        <x:v>0</x:v>
      </x:c>
    </x:row>
    <x:row r="648">
      <x:c r="A648" s="54" t="n">
        <x:v>644</x:v>
      </x:c>
      <x:c r="B648" s="54" t="n">
        <x:v>1</x:v>
      </x:c>
      <x:c r="C648" s="54" t="n">
        <x:v>1</x:v>
      </x:c>
      <x:c r="D648" s="54" t="n">
        <x:v>0</x:v>
      </x:c>
      <x:c r="E648" s="54" t="n">
        <x:v>68239</x:v>
      </x:c>
      <x:c r="F648" s="54" t="n">
        <x:v>56766</x:v>
      </x:c>
      <x:c r="G648" s="54" t="n">
        <x:v>31798</x:v>
      </x:c>
      <x:c r="H648" s="54" t="n">
        <x:v>23626</x:v>
      </x:c>
      <x:c r="I648" s="54" t="n">
        <x:v>13703</x:v>
      </x:c>
      <x:c r="J648" s="54" t="n">
        <x:v>60</x:v>
      </x:c>
      <x:c r="K648" s="53" t="n">
        <x:v>9.391018</x:v>
      </x:c>
      <x:c r="L648" s="53" t="n">
        <x:v>33.7565</x:v>
      </x:c>
      <x:c r="M648" s="53" t="n">
        <x:v>-84.4038</x:v>
      </x:c>
      <x:c r="N648" s="54" t="n">
        <x:v>250</x:v>
      </x:c>
      <x:c r="O648" s="54" t="n">
        <x:v>0</x:v>
      </x:c>
    </x:row>
    <x:row r="649">
      <x:c r="A649" s="54" t="n">
        <x:v>645</x:v>
      </x:c>
      <x:c r="B649" s="54" t="n">
        <x:v>3</x:v>
      </x:c>
      <x:c r="C649" s="54" t="n">
        <x:v>6</x:v>
      </x:c>
      <x:c r="D649" s="54" t="n">
        <x:v>0</x:v>
      </x:c>
      <x:c r="E649" s="54" t="n">
        <x:v>70649</x:v>
      </x:c>
      <x:c r="F649" s="54" t="n">
        <x:v>62621</x:v>
      </x:c>
      <x:c r="G649" s="54" t="n">
        <x:v>8196</x:v>
      </x:c>
      <x:c r="H649" s="54" t="n">
        <x:v>13478</x:v>
      </x:c>
      <x:c r="I649" s="54" t="n">
        <x:v>6065</x:v>
      </x:c>
      <x:c r="J649" s="54" t="n">
        <x:v>125</x:v>
      </x:c>
      <x:c r="K649" s="53" t="n">
        <x:v>10.033037</x:v>
      </x:c>
      <x:c r="L649" s="53" t="n">
        <x:v>32.7506</x:v>
      </x:c>
      <x:c r="M649" s="53" t="n">
        <x:v>-97.0915</x:v>
      </x:c>
      <x:c r="N649" s="54" t="n">
        <x:v>350</x:v>
      </x:c>
      <x:c r="O649" s="54" t="n">
        <x:v>0</x:v>
      </x:c>
    </x:row>
    <x:row r="650">
      <x:c r="A650" s="54" t="n">
        <x:v>646</x:v>
      </x:c>
      <x:c r="B650" s="54" t="n">
        <x:v>10</x:v>
      </x:c>
      <x:c r="C650" s="54" t="n">
        <x:v>19</x:v>
      </x:c>
      <x:c r="D650" s="54" t="n">
        <x:v>0</x:v>
      </x:c>
      <x:c r="E650" s="54" t="n">
        <x:v>68827</x:v>
      </x:c>
      <x:c r="F650" s="54" t="n">
        <x:v>53619</x:v>
      </x:c>
      <x:c r="G650" s="54" t="n">
        <x:v>28377</x:v>
      </x:c>
      <x:c r="H650" s="54" t="n">
        <x:v>21522</x:v>
      </x:c>
      <x:c r="I650" s="54" t="n">
        <x:v>13989</x:v>
      </x:c>
      <x:c r="J650" s="54" t="n">
        <x:v>75</x:v>
      </x:c>
      <x:c r="K650" s="53" t="n">
        <x:v>8.807888</x:v>
      </x:c>
      <x:c r="L650" s="53" t="n">
        <x:v>37.403468</x:v>
      </x:c>
      <x:c r="M650" s="53" t="n">
        <x:v>-121.974908</x:v>
      </x:c>
      <x:c r="N650" s="54" t="n">
        <x:v>250</x:v>
      </x:c>
      <x:c r="O650" s="54" t="n">
        <x:v>0</x:v>
      </x:c>
    </x:row>
    <x:row r="651">
      <x:c r="A651" s="54" t="n">
        <x:v>647</x:v>
      </x:c>
      <x:c r="B651" s="54" t="n">
        <x:v>10</x:v>
      </x:c>
      <x:c r="C651" s="54" t="n">
        <x:v>19</x:v>
      </x:c>
      <x:c r="D651" s="54" t="n">
        <x:v>0</x:v>
      </x:c>
      <x:c r="E651" s="54" t="n">
        <x:v>68827</x:v>
      </x:c>
      <x:c r="F651" s="54" t="n">
        <x:v>60749</x:v>
      </x:c>
      <x:c r="G651" s="54" t="n">
        <x:v>32747</x:v>
      </x:c>
      <x:c r="H651" s="54" t="n">
        <x:v>21166</x:v>
      </x:c>
      <x:c r="I651" s="54" t="n">
        <x:v>13758</x:v>
      </x:c>
      <x:c r="J651" s="54" t="n">
        <x:v>90</x:v>
      </x:c>
      <x:c r="K651" s="53" t="n">
        <x:v>8.807888</x:v>
      </x:c>
      <x:c r="L651" s="53" t="n">
        <x:v>37.403468</x:v>
      </x:c>
      <x:c r="M651" s="53" t="n">
        <x:v>-121.974908</x:v>
      </x:c>
      <x:c r="N651" s="54" t="n">
        <x:v>250</x:v>
      </x:c>
      <x:c r="O651" s="54" t="n">
        <x:v>1</x:v>
      </x:c>
    </x:row>
    <x:row r="652">
      <x:c r="A652" s="54" t="n">
        <x:v>648</x:v>
      </x:c>
      <x:c r="B652" s="54" t="n">
        <x:v>3</x:v>
      </x:c>
      <x:c r="C652" s="54" t="n">
        <x:v>6</x:v>
      </x:c>
      <x:c r="D652" s="54" t="n">
        <x:v>1</x:v>
      </x:c>
      <x:c r="E652" s="54" t="n">
        <x:v>70649</x:v>
      </x:c>
      <x:c r="F652" s="54" t="n">
        <x:v>63658</x:v>
      </x:c>
      <x:c r="G652" s="54" t="n">
        <x:v>10006</x:v>
      </x:c>
      <x:c r="H652" s="54" t="n">
        <x:v>10753</x:v>
      </x:c>
      <x:c r="I652" s="54" t="n">
        <x:v>4839</x:v>
      </x:c>
      <x:c r="J652" s="54" t="n">
        <x:v>111</x:v>
      </x:c>
      <x:c r="K652" s="53" t="n">
        <x:v>10.033037</x:v>
      </x:c>
      <x:c r="L652" s="53" t="n">
        <x:v>32.7506</x:v>
      </x:c>
      <x:c r="M652" s="53" t="n">
        <x:v>-97.0915</x:v>
      </x:c>
      <x:c r="N652" s="54" t="n">
        <x:v>350</x:v>
      </x:c>
      <x:c r="O652" s="54" t="n">
        <x:v>0</x:v>
      </x:c>
    </x:row>
    <x:row r="653">
      <x:c r="A653" s="54" t="n">
        <x:v>649</x:v>
      </x:c>
      <x:c r="B653" s="54" t="n">
        <x:v>8</x:v>
      </x:c>
      <x:c r="C653" s="54" t="n">
        <x:v>15</x:v>
      </x:c>
      <x:c r="D653" s="54" t="n">
        <x:v>0</x:v>
      </x:c>
      <x:c r="E653" s="54" t="n">
        <x:v>80663</x:v>
      </x:c>
      <x:c r="F653" s="54" t="n">
        <x:v>73845</x:v>
      </x:c>
      <x:c r="G653" s="54" t="n">
        <x:v>25968</x:v>
      </x:c>
      <x:c r="H653" s="54" t="n">
        <x:v>42146</x:v>
      </x:c>
      <x:c r="I653" s="54" t="n">
        <x:v>23180</x:v>
      </x:c>
      <x:c r="J653" s="54" t="n">
        <x:v>70</x:v>
      </x:c>
      <x:c r="K653" s="53" t="n">
        <x:v>10.438681</x:v>
      </x:c>
      <x:c r="L653" s="53" t="n">
        <x:v>40.807664</x:v>
      </x:c>
      <x:c r="M653" s="53" t="n">
        <x:v>-74.069833</x:v>
      </x:c>
      <x:c r="N653" s="54" t="n">
        <x:v>250</x:v>
      </x:c>
      <x:c r="O653" s="54" t="n">
        <x:v>1</x:v>
      </x:c>
    </x:row>
    <x:row r="654">
      <x:c r="A654" s="54" t="n">
        <x:v>650</x:v>
      </x:c>
      <x:c r="B654" s="54" t="n">
        <x:v>10</x:v>
      </x:c>
      <x:c r="C654" s="54" t="n">
        <x:v>19</x:v>
      </x:c>
      <x:c r="D654" s="54" t="n">
        <x:v>0</x:v>
      </x:c>
      <x:c r="E654" s="54" t="n">
        <x:v>68827</x:v>
      </x:c>
      <x:c r="F654" s="54" t="n">
        <x:v>55354</x:v>
      </x:c>
      <x:c r="G654" s="54" t="n">
        <x:v>33383</x:v>
      </x:c>
      <x:c r="H654" s="54" t="n">
        <x:v>23092</x:v>
      </x:c>
      <x:c r="I654" s="54" t="n">
        <x:v>15010</x:v>
      </x:c>
      <x:c r="J654" s="54" t="n">
        <x:v>77</x:v>
      </x:c>
      <x:c r="K654" s="53" t="n">
        <x:v>8.807888</x:v>
      </x:c>
      <x:c r="L654" s="53" t="n">
        <x:v>37.403468</x:v>
      </x:c>
      <x:c r="M654" s="53" t="n">
        <x:v>-121.974908</x:v>
      </x:c>
      <x:c r="N654" s="54" t="n">
        <x:v>250</x:v>
      </x:c>
      <x:c r="O654" s="54" t="n">
        <x:v>1</x:v>
      </x:c>
    </x:row>
    <x:row r="655">
      <x:c r="A655" s="54" t="n">
        <x:v>651</x:v>
      </x:c>
      <x:c r="B655" s="54" t="n">
        <x:v>10</x:v>
      </x:c>
      <x:c r="C655" s="54" t="n">
        <x:v>19</x:v>
      </x:c>
      <x:c r="D655" s="54" t="n">
        <x:v>2</x:v>
      </x:c>
      <x:c r="E655" s="54" t="n">
        <x:v>68827</x:v>
      </x:c>
      <x:c r="F655" s="54" t="n">
        <x:v>68267</x:v>
      </x:c>
      <x:c r="G655" s="54" t="n">
        <x:v>42038</x:v>
      </x:c>
      <x:c r="H655" s="54" t="n">
        <x:v>34302</x:v>
      </x:c>
      <x:c r="I655" s="54" t="n">
        <x:v>22296</x:v>
      </x:c>
      <x:c r="J655" s="54" t="n">
        <x:v>98</x:v>
      </x:c>
      <x:c r="K655" s="53" t="n">
        <x:v>8.807888</x:v>
      </x:c>
      <x:c r="L655" s="53" t="n">
        <x:v>37.403468</x:v>
      </x:c>
      <x:c r="M655" s="53" t="n">
        <x:v>-121.974908</x:v>
      </x:c>
      <x:c r="N655" s="54" t="n">
        <x:v>250</x:v>
      </x:c>
      <x:c r="O655" s="54" t="n">
        <x:v>1</x:v>
      </x:c>
    </x:row>
    <x:row r="656">
      <x:c r="A656" s="54" t="n">
        <x:v>652</x:v>
      </x:c>
      <x:c r="B656" s="54" t="n">
        <x:v>6</x:v>
      </x:c>
      <x:c r="C656" s="54" t="n">
        <x:v>11</x:v>
      </x:c>
      <x:c r="D656" s="54" t="n">
        <x:v>0</x:v>
      </x:c>
      <x:c r="E656" s="54" t="n">
        <x:v>70492</x:v>
      </x:c>
      <x:c r="F656" s="54" t="n">
        <x:v>45605</x:v>
      </x:c>
      <x:c r="G656" s="54" t="n">
        <x:v>14640</x:v>
      </x:c>
      <x:c r="H656" s="54" t="n">
        <x:v>10146</x:v>
      </x:c>
      <x:c r="I656" s="54" t="n">
        <x:v>5073</x:v>
      </x:c>
      <x:c r="J656" s="54" t="n">
        <x:v>94</x:v>
      </x:c>
      <x:c r="K656" s="53" t="n">
        <x:v>9.603284</x:v>
      </x:c>
      <x:c r="L656" s="53" t="n">
        <x:v>33.9509</x:v>
      </x:c>
      <x:c r="M656" s="53" t="n">
        <x:v>-118.3441</x:v>
      </x:c>
      <x:c r="N656" s="54" t="n">
        <x:v>350</x:v>
      </x:c>
      <x:c r="O656" s="54" t="n">
        <x:v>0</x:v>
      </x:c>
    </x:row>
    <x:row r="657">
      <x:c r="A657" s="54" t="n">
        <x:v>653</x:v>
      </x:c>
      <x:c r="B657" s="54" t="n">
        <x:v>8</x:v>
      </x:c>
      <x:c r="C657" s="54" t="n">
        <x:v>15</x:v>
      </x:c>
      <x:c r="D657" s="54" t="n">
        <x:v>3</x:v>
      </x:c>
      <x:c r="E657" s="54" t="n">
        <x:v>80663</x:v>
      </x:c>
      <x:c r="F657" s="54" t="n">
        <x:v>75403</x:v>
      </x:c>
      <x:c r="G657" s="54" t="n">
        <x:v>29877</x:v>
      </x:c>
      <x:c r="H657" s="54" t="n">
        <x:v>53150</x:v>
      </x:c>
      <x:c r="I657" s="54" t="n">
        <x:v>29233</x:v>
      </x:c>
      <x:c r="J657" s="54" t="n">
        <x:v>82</x:v>
      </x:c>
      <x:c r="K657" s="53" t="n">
        <x:v>10.438681</x:v>
      </x:c>
      <x:c r="L657" s="53" t="n">
        <x:v>40.807664</x:v>
      </x:c>
      <x:c r="M657" s="53" t="n">
        <x:v>-74.069833</x:v>
      </x:c>
      <x:c r="N657" s="54" t="n">
        <x:v>250</x:v>
      </x:c>
      <x:c r="O657" s="54" t="n">
        <x:v>1</x:v>
      </x:c>
    </x:row>
    <x:row r="658">
      <x:c r="A658" s="54" t="n">
        <x:v>654</x:v>
      </x:c>
      <x:c r="B658" s="54" t="n">
        <x:v>2</x:v>
      </x:c>
      <x:c r="C658" s="54" t="n">
        <x:v>3</x:v>
      </x:c>
      <x:c r="D658" s="54" t="n">
        <x:v>0</x:v>
      </x:c>
      <x:c r="E658" s="54" t="n">
        <x:v>64146</x:v>
      </x:c>
      <x:c r="F658" s="54" t="n">
        <x:v>50957</x:v>
      </x:c>
      <x:c r="G658" s="54" t="n">
        <x:v>15209</x:v>
      </x:c>
      <x:c r="H658" s="54" t="n">
        <x:v>4796</x:v>
      </x:c>
      <x:c r="I658" s="54" t="n">
        <x:v>3117</x:v>
      </x:c>
      <x:c r="J658" s="54" t="n">
        <x:v>96</x:v>
      </x:c>
      <x:c r="K658" s="53" t="n">
        <x:v>8.671598</x:v>
      </x:c>
      <x:c r="L658" s="53" t="n">
        <x:v>42.0889</x:v>
      </x:c>
      <x:c r="M658" s="53" t="n">
        <x:v>-71.2597</x:v>
      </x:c>
      <x:c r="N658" s="54" t="n">
        <x:v>250</x:v>
      </x:c>
      <x:c r="O658" s="54" t="n">
        <x:v>0</x:v>
      </x:c>
    </x:row>
    <x:row r="659">
      <x:c r="A659" s="54" t="n">
        <x:v>655</x:v>
      </x:c>
      <x:c r="B659" s="54" t="n">
        <x:v>9</x:v>
      </x:c>
      <x:c r="C659" s="54" t="n">
        <x:v>17</x:v>
      </x:c>
      <x:c r="D659" s="54" t="n">
        <x:v>0</x:v>
      </x:c>
      <x:c r="E659" s="54" t="n">
        <x:v>68324</x:v>
      </x:c>
      <x:c r="F659" s="54" t="n">
        <x:v>51313</x:v>
      </x:c>
      <x:c r="G659" s="54" t="n">
        <x:v>21947</x:v>
      </x:c>
      <x:c r="H659" s="54" t="n">
        <x:v>23916</x:v>
      </x:c>
      <x:c r="I659" s="54" t="n">
        <x:v>14350</x:v>
      </x:c>
      <x:c r="J659" s="54" t="n">
        <x:v>70</x:v>
      </x:c>
      <x:c r="K659" s="53" t="n">
        <x:v>8.474327</x:v>
      </x:c>
      <x:c r="L659" s="53" t="n">
        <x:v>39.9047</x:v>
      </x:c>
      <x:c r="M659" s="53" t="n">
        <x:v>-75.1736</x:v>
      </x:c>
      <x:c r="N659" s="54" t="n">
        <x:v>250</x:v>
      </x:c>
      <x:c r="O659" s="54" t="n">
        <x:v>0</x:v>
      </x:c>
    </x:row>
    <x:row r="660">
      <x:c r="A660" s="54" t="n">
        <x:v>656</x:v>
      </x:c>
      <x:c r="B660" s="54" t="n">
        <x:v>1</x:v>
      </x:c>
      <x:c r="C660" s="54" t="n">
        <x:v>1</x:v>
      </x:c>
      <x:c r="D660" s="54" t="n">
        <x:v>0</x:v>
      </x:c>
      <x:c r="E660" s="54" t="n">
        <x:v>68239</x:v>
      </x:c>
      <x:c r="F660" s="54" t="n">
        <x:v>56980</x:v>
      </x:c>
      <x:c r="G660" s="54" t="n">
        <x:v>25578</x:v>
      </x:c>
      <x:c r="H660" s="54" t="n">
        <x:v>21738</x:v>
      </x:c>
      <x:c r="I660" s="54" t="n">
        <x:v>12608</x:v>
      </x:c>
      <x:c r="J660" s="54" t="n">
        <x:v>48</x:v>
      </x:c>
      <x:c r="K660" s="53" t="n">
        <x:v>9.391018</x:v>
      </x:c>
      <x:c r="L660" s="53" t="n">
        <x:v>33.7565</x:v>
      </x:c>
      <x:c r="M660" s="53" t="n">
        <x:v>-84.4038</x:v>
      </x:c>
      <x:c r="N660" s="54" t="n">
        <x:v>250</x:v>
      </x:c>
      <x:c r="O660" s="54" t="n">
        <x:v>0</x:v>
      </x:c>
    </x:row>
    <x:row r="661">
      <x:c r="A661" s="54" t="n">
        <x:v>657</x:v>
      </x:c>
      <x:c r="B661" s="54" t="n">
        <x:v>9</x:v>
      </x:c>
      <x:c r="C661" s="54" t="n">
        <x:v>17</x:v>
      </x:c>
      <x:c r="D661" s="54" t="n">
        <x:v>0</x:v>
      </x:c>
      <x:c r="E661" s="54" t="n">
        <x:v>68324</x:v>
      </x:c>
      <x:c r="F661" s="54" t="n">
        <x:v>58326</x:v>
      </x:c>
      <x:c r="G661" s="54" t="n">
        <x:v>23853</x:v>
      </x:c>
      <x:c r="H661" s="54" t="n">
        <x:v>28726</x:v>
      </x:c>
      <x:c r="I661" s="54" t="n">
        <x:v>17236</x:v>
      </x:c>
      <x:c r="J661" s="54" t="n">
        <x:v>105</x:v>
      </x:c>
      <x:c r="K661" s="53" t="n">
        <x:v>8.474327</x:v>
      </x:c>
      <x:c r="L661" s="53" t="n">
        <x:v>39.9047</x:v>
      </x:c>
      <x:c r="M661" s="53" t="n">
        <x:v>-75.1736</x:v>
      </x:c>
      <x:c r="N661" s="54" t="n">
        <x:v>250</x:v>
      </x:c>
      <x:c r="O661" s="54" t="n">
        <x:v>1</x:v>
      </x:c>
    </x:row>
    <x:row r="662">
      <x:c r="A662" s="54" t="n">
        <x:v>658</x:v>
      </x:c>
      <x:c r="B662" s="54" t="n">
        <x:v>1</x:v>
      </x:c>
      <x:c r="C662" s="54" t="n">
        <x:v>1</x:v>
      </x:c>
      <x:c r="D662" s="54" t="n">
        <x:v>1</x:v>
      </x:c>
      <x:c r="E662" s="54" t="n">
        <x:v>68239</x:v>
      </x:c>
      <x:c r="F662" s="54" t="n">
        <x:v>66516</x:v>
      </x:c>
      <x:c r="G662" s="54" t="n">
        <x:v>30791</x:v>
      </x:c>
      <x:c r="H662" s="54" t="n">
        <x:v>29993</x:v>
      </x:c>
      <x:c r="I662" s="54" t="n">
        <x:v>17396</x:v>
      </x:c>
      <x:c r="J662" s="54" t="n">
        <x:v>71</x:v>
      </x:c>
      <x:c r="K662" s="53" t="n">
        <x:v>9.391018</x:v>
      </x:c>
      <x:c r="L662" s="53" t="n">
        <x:v>33.7565</x:v>
      </x:c>
      <x:c r="M662" s="53" t="n">
        <x:v>-84.4038</x:v>
      </x:c>
      <x:c r="N662" s="54" t="n">
        <x:v>250</x:v>
      </x:c>
      <x:c r="O662" s="54" t="n">
        <x:v>1</x:v>
      </x:c>
    </x:row>
    <x:row r="663">
      <x:c r="A663" s="54" t="n">
        <x:v>659</x:v>
      </x:c>
      <x:c r="B663" s="54" t="n">
        <x:v>1</x:v>
      </x:c>
      <x:c r="C663" s="54" t="n">
        <x:v>1</x:v>
      </x:c>
      <x:c r="D663" s="54" t="n">
        <x:v>0</x:v>
      </x:c>
      <x:c r="E663" s="54" t="n">
        <x:v>68239</x:v>
      </x:c>
      <x:c r="F663" s="54" t="n">
        <x:v>61523</x:v>
      </x:c>
      <x:c r="G663" s="54" t="n">
        <x:v>23575</x:v>
      </x:c>
      <x:c r="H663" s="54" t="n">
        <x:v>21264</x:v>
      </x:c>
      <x:c r="I663" s="54" t="n">
        <x:v>12333</x:v>
      </x:c>
      <x:c r="J663" s="54" t="n">
        <x:v>74</x:v>
      </x:c>
      <x:c r="K663" s="53" t="n">
        <x:v>9.391018</x:v>
      </x:c>
      <x:c r="L663" s="53" t="n">
        <x:v>33.7565</x:v>
      </x:c>
      <x:c r="M663" s="53" t="n">
        <x:v>-84.4038</x:v>
      </x:c>
      <x:c r="N663" s="54" t="n">
        <x:v>250</x:v>
      </x:c>
      <x:c r="O663" s="54" t="n">
        <x:v>0</x:v>
      </x:c>
    </x:row>
    <x:row r="664">
      <x:c r="A664" s="54" t="n">
        <x:v>660</x:v>
      </x:c>
      <x:c r="B664" s="54" t="n">
        <x:v>11</x:v>
      </x:c>
      <x:c r="C664" s="54" t="n">
        <x:v>21</x:v>
      </x:c>
      <x:c r="D664" s="54" t="n">
        <x:v>0</x:v>
      </x:c>
      <x:c r="E664" s="54" t="n">
        <x:v>66925</x:v>
      </x:c>
      <x:c r="F664" s="54" t="n">
        <x:v>56284</x:v>
      </x:c>
      <x:c r="G664" s="54" t="n">
        <x:v>26611</x:v>
      </x:c>
      <x:c r="H664" s="54" t="n">
        <x:v>28925</x:v>
      </x:c>
      <x:c r="I664" s="54" t="n">
        <x:v>15909</x:v>
      </x:c>
      <x:c r="J664" s="54" t="n">
        <x:v>77</x:v>
      </x:c>
      <x:c r="K664" s="53" t="n">
        <x:v>8.408439</x:v>
      </x:c>
      <x:c r="L664" s="53" t="n">
        <x:v>47.5917</x:v>
      </x:c>
      <x:c r="M664" s="53" t="n">
        <x:v>-122.3272</x:v>
      </x:c>
      <x:c r="N664" s="54" t="n">
        <x:v>250</x:v>
      </x:c>
      <x:c r="O664" s="54" t="n">
        <x:v>1</x:v>
      </x:c>
    </x:row>
    <x:row r="665">
      <x:c r="A665" s="54" t="n">
        <x:v>661</x:v>
      </x:c>
      <x:c r="B665" s="54" t="n">
        <x:v>4</x:v>
      </x:c>
      <x:c r="C665" s="54" t="n">
        <x:v>7</x:v>
      </x:c>
      <x:c r="D665" s="54" t="n">
        <x:v>1</x:v>
      </x:c>
      <x:c r="E665" s="54" t="n">
        <x:v>68777</x:v>
      </x:c>
      <x:c r="F665" s="54" t="n">
        <x:v>52452</x:v>
      </x:c>
      <x:c r="G665" s="54" t="n">
        <x:v>15769</x:v>
      </x:c>
      <x:c r="H665" s="54" t="n">
        <x:v>14539</x:v>
      </x:c>
      <x:c r="I665" s="54" t="n">
        <x:v>8723</x:v>
      </x:c>
      <x:c r="J665" s="54" t="n">
        <x:v>82</x:v>
      </x:c>
      <x:c r="K665" s="53" t="n">
        <x:v>9.092387</x:v>
      </x:c>
      <x:c r="L665" s="53" t="n">
        <x:v>29.6852</x:v>
      </x:c>
      <x:c r="M665" s="53" t="n">
        <x:v>-95.407</x:v>
      </x:c>
      <x:c r="N665" s="54" t="n">
        <x:v>250</x:v>
      </x:c>
      <x:c r="O665" s="54" t="n">
        <x:v>0</x:v>
      </x:c>
    </x:row>
    <x:row r="666">
      <x:c r="A666" s="54" t="n">
        <x:v>662</x:v>
      </x:c>
      <x:c r="B666" s="54" t="n">
        <x:v>4</x:v>
      </x:c>
      <x:c r="C666" s="54" t="n">
        <x:v>7</x:v>
      </x:c>
      <x:c r="D666" s="54" t="n">
        <x:v>0</x:v>
      </x:c>
      <x:c r="E666" s="54" t="n">
        <x:v>68777</x:v>
      </x:c>
      <x:c r="F666" s="54" t="n">
        <x:v>58142</x:v>
      </x:c>
      <x:c r="G666" s="54" t="n">
        <x:v>21422</x:v>
      </x:c>
      <x:c r="H666" s="54" t="n">
        <x:v>15637</x:v>
      </x:c>
      <x:c r="I666" s="54" t="n">
        <x:v>9382</x:v>
      </x:c>
      <x:c r="J666" s="54" t="n">
        <x:v>93</x:v>
      </x:c>
      <x:c r="K666" s="53" t="n">
        <x:v>9.092387</x:v>
      </x:c>
      <x:c r="L666" s="53" t="n">
        <x:v>29.6852</x:v>
      </x:c>
      <x:c r="M666" s="53" t="n">
        <x:v>-95.407</x:v>
      </x:c>
      <x:c r="N666" s="54" t="n">
        <x:v>250</x:v>
      </x:c>
      <x:c r="O666" s="54" t="n">
        <x:v>0</x:v>
      </x:c>
    </x:row>
    <x:row r="667">
      <x:c r="A667" s="54" t="n">
        <x:v>663</x:v>
      </x:c>
      <x:c r="B667" s="54" t="n">
        <x:v>3</x:v>
      </x:c>
      <x:c r="C667" s="54" t="n">
        <x:v>6</x:v>
      </x:c>
      <x:c r="D667" s="54" t="n">
        <x:v>0</x:v>
      </x:c>
      <x:c r="E667" s="54" t="n">
        <x:v>70649</x:v>
      </x:c>
      <x:c r="F667" s="54" t="n">
        <x:v>59270</x:v>
      </x:c>
      <x:c r="G667" s="54" t="n">
        <x:v>10992</x:v>
      </x:c>
      <x:c r="H667" s="54" t="n">
        <x:v>8219</x:v>
      </x:c>
      <x:c r="I667" s="54" t="n">
        <x:v>3699</x:v>
      </x:c>
      <x:c r="J667" s="54" t="n">
        <x:v>113</x:v>
      </x:c>
      <x:c r="K667" s="53" t="n">
        <x:v>10.033037</x:v>
      </x:c>
      <x:c r="L667" s="53" t="n">
        <x:v>32.7506</x:v>
      </x:c>
      <x:c r="M667" s="53" t="n">
        <x:v>-97.0915</x:v>
      </x:c>
      <x:c r="N667" s="54" t="n">
        <x:v>350</x:v>
      </x:c>
      <x:c r="O667" s="54" t="n">
        <x:v>0</x:v>
      </x:c>
    </x:row>
    <x:row r="668">
      <x:c r="A668" s="54" t="n">
        <x:v>664</x:v>
      </x:c>
      <x:c r="B668" s="54" t="n">
        <x:v>4</x:v>
      </x:c>
      <x:c r="C668" s="54" t="n">
        <x:v>7</x:v>
      </x:c>
      <x:c r="D668" s="54" t="n">
        <x:v>2</x:v>
      </x:c>
      <x:c r="E668" s="54" t="n">
        <x:v>68777</x:v>
      </x:c>
      <x:c r="F668" s="54" t="n">
        <x:v>62191</x:v>
      </x:c>
      <x:c r="G668" s="54" t="n">
        <x:v>16021</x:v>
      </x:c>
      <x:c r="H668" s="54" t="n">
        <x:v>17902</x:v>
      </x:c>
      <x:c r="I668" s="54" t="n">
        <x:v>10741</x:v>
      </x:c>
      <x:c r="J668" s="54" t="n">
        <x:v>90</x:v>
      </x:c>
      <x:c r="K668" s="53" t="n">
        <x:v>9.092387</x:v>
      </x:c>
      <x:c r="L668" s="53" t="n">
        <x:v>29.6852</x:v>
      </x:c>
      <x:c r="M668" s="53" t="n">
        <x:v>-95.407</x:v>
      </x:c>
      <x:c r="N668" s="54" t="n">
        <x:v>250</x:v>
      </x:c>
      <x:c r="O668" s="54" t="n">
        <x:v>0</x:v>
      </x:c>
    </x:row>
    <x:row r="669">
      <x:c r="A669" s="54" t="n">
        <x:v>665</x:v>
      </x:c>
      <x:c r="B669" s="54" t="n">
        <x:v>6</x:v>
      </x:c>
      <x:c r="C669" s="54" t="n">
        <x:v>11</x:v>
      </x:c>
      <x:c r="D669" s="54" t="n">
        <x:v>0</x:v>
      </x:c>
      <x:c r="E669" s="54" t="n">
        <x:v>70492</x:v>
      </x:c>
      <x:c r="F669" s="54" t="n">
        <x:v>59609</x:v>
      </x:c>
      <x:c r="G669" s="54" t="n">
        <x:v>26495</x:v>
      </x:c>
      <x:c r="H669" s="54" t="n">
        <x:v>12398</x:v>
      </x:c>
      <x:c r="I669" s="54" t="n">
        <x:v>6199</x:v>
      </x:c>
      <x:c r="J669" s="54" t="n">
        <x:v>89</x:v>
      </x:c>
      <x:c r="K669" s="53" t="n">
        <x:v>9.603284</x:v>
      </x:c>
      <x:c r="L669" s="53" t="n">
        <x:v>33.9509</x:v>
      </x:c>
      <x:c r="M669" s="53" t="n">
        <x:v>-118.3441</x:v>
      </x:c>
      <x:c r="N669" s="54" t="n">
        <x:v>350</x:v>
      </x:c>
      <x:c r="O669" s="54" t="n">
        <x:v>0</x:v>
      </x:c>
    </x:row>
    <x:row r="670">
      <x:c r="A670" s="54" t="n">
        <x:v>666</x:v>
      </x:c>
      <x:c r="B670" s="54" t="n">
        <x:v>1</x:v>
      </x:c>
      <x:c r="C670" s="54" t="n">
        <x:v>1</x:v>
      </x:c>
      <x:c r="D670" s="54" t="n">
        <x:v>0</x:v>
      </x:c>
      <x:c r="E670" s="54" t="n">
        <x:v>68239</x:v>
      </x:c>
      <x:c r="F670" s="54" t="n">
        <x:v>60394</x:v>
      </x:c>
      <x:c r="G670" s="54" t="n">
        <x:v>37406</x:v>
      </x:c>
      <x:c r="H670" s="54" t="n">
        <x:v>25136</x:v>
      </x:c>
      <x:c r="I670" s="54" t="n">
        <x:v>14579</x:v>
      </x:c>
      <x:c r="J670" s="54" t="n">
        <x:v>73</x:v>
      </x:c>
      <x:c r="K670" s="53" t="n">
        <x:v>9.391018</x:v>
      </x:c>
      <x:c r="L670" s="53" t="n">
        <x:v>33.7565</x:v>
      </x:c>
      <x:c r="M670" s="53" t="n">
        <x:v>-84.4038</x:v>
      </x:c>
      <x:c r="N670" s="54" t="n">
        <x:v>250</x:v>
      </x:c>
      <x:c r="O670" s="54" t="n">
        <x:v>1</x:v>
      </x:c>
    </x:row>
    <x:row r="671">
      <x:c r="A671" s="54" t="n">
        <x:v>667</x:v>
      </x:c>
      <x:c r="B671" s="54" t="n">
        <x:v>4</x:v>
      </x:c>
      <x:c r="C671" s="54" t="n">
        <x:v>7</x:v>
      </x:c>
      <x:c r="D671" s="54" t="n">
        <x:v>0</x:v>
      </x:c>
      <x:c r="E671" s="54" t="n">
        <x:v>68777</x:v>
      </x:c>
      <x:c r="F671" s="54" t="n">
        <x:v>50805</x:v>
      </x:c>
      <x:c r="G671" s="54" t="n">
        <x:v>16243</x:v>
      </x:c>
      <x:c r="H671" s="54" t="n">
        <x:v>17237</x:v>
      </x:c>
      <x:c r="I671" s="54" t="n">
        <x:v>10342</x:v>
      </x:c>
      <x:c r="J671" s="54" t="n">
        <x:v>97</x:v>
      </x:c>
      <x:c r="K671" s="53" t="n">
        <x:v>9.092387</x:v>
      </x:c>
      <x:c r="L671" s="53" t="n">
        <x:v>29.6852</x:v>
      </x:c>
      <x:c r="M671" s="53" t="n">
        <x:v>-95.407</x:v>
      </x:c>
      <x:c r="N671" s="54" t="n">
        <x:v>250</x:v>
      </x:c>
      <x:c r="O671" s="54" t="n">
        <x:v>0</x:v>
      </x:c>
    </x:row>
    <x:row r="672">
      <x:c r="A672" s="54" t="n">
        <x:v>668</x:v>
      </x:c>
      <x:c r="B672" s="54" t="n">
        <x:v>3</x:v>
      </x:c>
      <x:c r="C672" s="54" t="n">
        <x:v>6</x:v>
      </x:c>
      <x:c r="D672" s="54" t="n">
        <x:v>2</x:v>
      </x:c>
      <x:c r="E672" s="54" t="n">
        <x:v>70649</x:v>
      </x:c>
      <x:c r="F672" s="54" t="n">
        <x:v>58029</x:v>
      </x:c>
      <x:c r="G672" s="54" t="n">
        <x:v>11154</x:v>
      </x:c>
      <x:c r="H672" s="54" t="n">
        <x:v>13094</x:v>
      </x:c>
      <x:c r="I672" s="54" t="n">
        <x:v>5892</x:v>
      </x:c>
      <x:c r="J672" s="54" t="n">
        <x:v>122</x:v>
      </x:c>
      <x:c r="K672" s="53" t="n">
        <x:v>10.033037</x:v>
      </x:c>
      <x:c r="L672" s="53" t="n">
        <x:v>32.7506</x:v>
      </x:c>
      <x:c r="M672" s="53" t="n">
        <x:v>-97.0915</x:v>
      </x:c>
      <x:c r="N672" s="54" t="n">
        <x:v>350</x:v>
      </x:c>
      <x:c r="O672" s="54" t="n">
        <x:v>0</x:v>
      </x:c>
    </x:row>
    <x:row r="673">
      <x:c r="A673" s="54" t="n">
        <x:v>669</x:v>
      </x:c>
      <x:c r="B673" s="54" t="n">
        <x:v>8</x:v>
      </x:c>
      <x:c r="C673" s="54" t="n">
        <x:v>16</x:v>
      </x:c>
      <x:c r="D673" s="54" t="n">
        <x:v>0</x:v>
      </x:c>
      <x:c r="E673" s="54" t="n">
        <x:v>80663</x:v>
      </x:c>
      <x:c r="F673" s="54" t="n">
        <x:v>65577</x:v>
      </x:c>
      <x:c r="G673" s="54" t="n">
        <x:v>15049</x:v>
      </x:c>
      <x:c r="H673" s="54" t="n">
        <x:v>45137</x:v>
      </x:c>
      <x:c r="I673" s="54" t="n">
        <x:v>20312</x:v>
      </x:c>
      <x:c r="J673" s="54" t="n">
        <x:v>63</x:v>
      </x:c>
      <x:c r="K673" s="53" t="n">
        <x:v>10.438681</x:v>
      </x:c>
      <x:c r="L673" s="53" t="n">
        <x:v>40.81145</x:v>
      </x:c>
      <x:c r="M673" s="53" t="n">
        <x:v>-74.07075</x:v>
      </x:c>
      <x:c r="N673" s="54" t="n">
        <x:v>350</x:v>
      </x:c>
      <x:c r="O673" s="54" t="n">
        <x:v>0</x:v>
      </x:c>
    </x:row>
    <x:row r="674">
      <x:c r="A674" s="54" t="n">
        <x:v>670</x:v>
      </x:c>
      <x:c r="B674" s="54" t="n">
        <x:v>11</x:v>
      </x:c>
      <x:c r="C674" s="54" t="n">
        <x:v>21</x:v>
      </x:c>
      <x:c r="D674" s="54" t="n">
        <x:v>0</x:v>
      </x:c>
      <x:c r="E674" s="54" t="n">
        <x:v>66925</x:v>
      </x:c>
      <x:c r="F674" s="54" t="n">
        <x:v>58571</x:v>
      </x:c>
      <x:c r="G674" s="54" t="n">
        <x:v>32682</x:v>
      </x:c>
      <x:c r="H674" s="54" t="n">
        <x:v>29632</x:v>
      </x:c>
      <x:c r="I674" s="54" t="n">
        <x:v>16298</x:v>
      </x:c>
      <x:c r="J674" s="54" t="n">
        <x:v>77</x:v>
      </x:c>
      <x:c r="K674" s="53" t="n">
        <x:v>8.408439</x:v>
      </x:c>
      <x:c r="L674" s="53" t="n">
        <x:v>47.5917</x:v>
      </x:c>
      <x:c r="M674" s="53" t="n">
        <x:v>-122.3272</x:v>
      </x:c>
      <x:c r="N674" s="54" t="n">
        <x:v>250</x:v>
      </x:c>
      <x:c r="O674" s="54" t="n">
        <x:v>1</x:v>
      </x:c>
    </x:row>
    <x:row r="675">
      <x:c r="A675" s="54" t="n">
        <x:v>671</x:v>
      </x:c>
      <x:c r="B675" s="54" t="n">
        <x:v>7</x:v>
      </x:c>
      <x:c r="C675" s="54" t="n">
        <x:v>13</x:v>
      </x:c>
      <x:c r="D675" s="54" t="n">
        <x:v>0</x:v>
      </x:c>
      <x:c r="E675" s="54" t="n">
        <x:v>64478</x:v>
      </x:c>
      <x:c r="F675" s="54" t="n">
        <x:v>55616</x:v>
      </x:c>
      <x:c r="G675" s="54" t="n">
        <x:v>14180</x:v>
      </x:c>
      <x:c r="H675" s="54" t="n">
        <x:v>8837</x:v>
      </x:c>
      <x:c r="I675" s="54" t="n">
        <x:v>4860</x:v>
      </x:c>
      <x:c r="J675" s="54" t="n">
        <x:v>117</x:v>
      </x:c>
      <x:c r="K675" s="53" t="n">
        <x:v>8.69743</x:v>
      </x:c>
      <x:c r="L675" s="53" t="n">
        <x:v>25.957</x:v>
      </x:c>
      <x:c r="M675" s="53" t="n">
        <x:v>-80.2425</x:v>
      </x:c>
      <x:c r="N675" s="54" t="n">
        <x:v>400</x:v>
      </x:c>
      <x:c r="O675" s="54" t="n">
        <x:v>0</x:v>
      </x:c>
    </x:row>
    <x:row r="676">
      <x:c r="A676" s="54" t="n">
        <x:v>672</x:v>
      </x:c>
      <x:c r="B676" s="54" t="n">
        <x:v>8</x:v>
      </x:c>
      <x:c r="C676" s="54" t="n">
        <x:v>15</x:v>
      </x:c>
      <x:c r="D676" s="54" t="n">
        <x:v>0</x:v>
      </x:c>
      <x:c r="E676" s="54" t="n">
        <x:v>80663</x:v>
      </x:c>
      <x:c r="F676" s="54" t="n">
        <x:v>69977</x:v>
      </x:c>
      <x:c r="G676" s="54" t="n">
        <x:v>23398</x:v>
      </x:c>
      <x:c r="H676" s="54" t="n">
        <x:v>44277</x:v>
      </x:c>
      <x:c r="I676" s="54" t="n">
        <x:v>24352</x:v>
      </x:c>
      <x:c r="J676" s="54" t="n">
        <x:v>87</x:v>
      </x:c>
      <x:c r="K676" s="53" t="n">
        <x:v>10.438681</x:v>
      </x:c>
      <x:c r="L676" s="53" t="n">
        <x:v>40.807664</x:v>
      </x:c>
      <x:c r="M676" s="53" t="n">
        <x:v>-74.069833</x:v>
      </x:c>
      <x:c r="N676" s="54" t="n">
        <x:v>250</x:v>
      </x:c>
      <x:c r="O676" s="54" t="n">
        <x:v>1</x:v>
      </x:c>
    </x:row>
    <x:row r="677">
      <x:c r="A677" s="54" t="n">
        <x:v>673</x:v>
      </x:c>
      <x:c r="B677" s="54" t="n">
        <x:v>8</x:v>
      </x:c>
      <x:c r="C677" s="54" t="n">
        <x:v>15</x:v>
      </x:c>
      <x:c r="D677" s="54" t="n">
        <x:v>0</x:v>
      </x:c>
      <x:c r="E677" s="54" t="n">
        <x:v>80663</x:v>
      </x:c>
      <x:c r="F677" s="54" t="n">
        <x:v>66889</x:v>
      </x:c>
      <x:c r="G677" s="54" t="n">
        <x:v>20596</x:v>
      </x:c>
      <x:c r="H677" s="54" t="n">
        <x:v>49870</x:v>
      </x:c>
      <x:c r="I677" s="54" t="n">
        <x:v>27429</x:v>
      </x:c>
      <x:c r="J677" s="54" t="n">
        <x:v>74</x:v>
      </x:c>
      <x:c r="K677" s="53" t="n">
        <x:v>10.438681</x:v>
      </x:c>
      <x:c r="L677" s="53" t="n">
        <x:v>40.807664</x:v>
      </x:c>
      <x:c r="M677" s="53" t="n">
        <x:v>-74.069833</x:v>
      </x:c>
      <x:c r="N677" s="54" t="n">
        <x:v>250</x:v>
      </x:c>
      <x:c r="O677" s="54" t="n">
        <x:v>1</x:v>
      </x:c>
    </x:row>
    <x:row r="678">
      <x:c r="A678" s="54" t="n">
        <x:v>674</x:v>
      </x:c>
      <x:c r="B678" s="54" t="n">
        <x:v>4</x:v>
      </x:c>
      <x:c r="C678" s="54" t="n">
        <x:v>7</x:v>
      </x:c>
      <x:c r="D678" s="54" t="n">
        <x:v>1</x:v>
      </x:c>
      <x:c r="E678" s="54" t="n">
        <x:v>68777</x:v>
      </x:c>
      <x:c r="F678" s="54" t="n">
        <x:v>61574</x:v>
      </x:c>
      <x:c r="G678" s="54" t="n">
        <x:v>20464</x:v>
      </x:c>
      <x:c r="H678" s="54" t="n">
        <x:v>17178</x:v>
      </x:c>
      <x:c r="I678" s="54" t="n">
        <x:v>10307</x:v>
      </x:c>
      <x:c r="J678" s="54" t="n">
        <x:v>79</x:v>
      </x:c>
      <x:c r="K678" s="53" t="n">
        <x:v>9.092387</x:v>
      </x:c>
      <x:c r="L678" s="53" t="n">
        <x:v>29.6852</x:v>
      </x:c>
      <x:c r="M678" s="53" t="n">
        <x:v>-95.407</x:v>
      </x:c>
      <x:c r="N678" s="54" t="n">
        <x:v>250</x:v>
      </x:c>
      <x:c r="O678" s="54" t="n">
        <x:v>0</x:v>
      </x:c>
    </x:row>
    <x:row r="679">
      <x:c r="A679" s="54" t="n">
        <x:v>675</x:v>
      </x:c>
      <x:c r="B679" s="54" t="n">
        <x:v>2</x:v>
      </x:c>
      <x:c r="C679" s="54" t="n">
        <x:v>3</x:v>
      </x:c>
      <x:c r="D679" s="54" t="n">
        <x:v>0</x:v>
      </x:c>
      <x:c r="E679" s="54" t="n">
        <x:v>64146</x:v>
      </x:c>
      <x:c r="F679" s="54" t="n">
        <x:v>53243</x:v>
      </x:c>
      <x:c r="G679" s="54" t="n">
        <x:v>13331</x:v>
      </x:c>
      <x:c r="H679" s="54" t="n">
        <x:v>13313</x:v>
      </x:c>
      <x:c r="I679" s="54" t="n">
        <x:v>8653</x:v>
      </x:c>
      <x:c r="J679" s="54" t="n">
        <x:v>91</x:v>
      </x:c>
      <x:c r="K679" s="53" t="n">
        <x:v>8.671598</x:v>
      </x:c>
      <x:c r="L679" s="53" t="n">
        <x:v>42.0889</x:v>
      </x:c>
      <x:c r="M679" s="53" t="n">
        <x:v>-71.2597</x:v>
      </x:c>
      <x:c r="N679" s="54" t="n">
        <x:v>250</x:v>
      </x:c>
      <x:c r="O679" s="54" t="n">
        <x:v>0</x:v>
      </x:c>
    </x:row>
    <x:row r="680">
      <x:c r="A680" s="54" t="n">
        <x:v>676</x:v>
      </x:c>
      <x:c r="B680" s="54" t="n">
        <x:v>3</x:v>
      </x:c>
      <x:c r="C680" s="54" t="n">
        <x:v>6</x:v>
      </x:c>
      <x:c r="D680" s="54" t="n">
        <x:v>0</x:v>
      </x:c>
      <x:c r="E680" s="54" t="n">
        <x:v>70649</x:v>
      </x:c>
      <x:c r="F680" s="54" t="n">
        <x:v>60923</x:v>
      </x:c>
      <x:c r="G680" s="54" t="n">
        <x:v>10816</x:v>
      </x:c>
      <x:c r="H680" s="54" t="n">
        <x:v>13153</x:v>
      </x:c>
      <x:c r="I680" s="54" t="n">
        <x:v>5919</x:v>
      </x:c>
      <x:c r="J680" s="54" t="n">
        <x:v>115</x:v>
      </x:c>
      <x:c r="K680" s="53" t="n">
        <x:v>10.033037</x:v>
      </x:c>
      <x:c r="L680" s="53" t="n">
        <x:v>32.7506</x:v>
      </x:c>
      <x:c r="M680" s="53" t="n">
        <x:v>-97.0915</x:v>
      </x:c>
      <x:c r="N680" s="54" t="n">
        <x:v>350</x:v>
      </x:c>
      <x:c r="O680" s="54" t="n">
        <x:v>0</x:v>
      </x:c>
    </x:row>
    <x:row r="681">
      <x:c r="A681" s="54" t="n">
        <x:v>677</x:v>
      </x:c>
      <x:c r="B681" s="54" t="n">
        <x:v>1</x:v>
      </x:c>
      <x:c r="C681" s="54" t="n">
        <x:v>1</x:v>
      </x:c>
      <x:c r="D681" s="54" t="n">
        <x:v>0</x:v>
      </x:c>
      <x:c r="E681" s="54" t="n">
        <x:v>68239</x:v>
      </x:c>
      <x:c r="F681" s="54" t="n">
        <x:v>59318</x:v>
      </x:c>
      <x:c r="G681" s="54" t="n">
        <x:v>24271</x:v>
      </x:c>
      <x:c r="H681" s="54" t="n">
        <x:v>23253</x:v>
      </x:c>
      <x:c r="I681" s="54" t="n">
        <x:v>13487</x:v>
      </x:c>
      <x:c r="J681" s="54" t="n">
        <x:v>67</x:v>
      </x:c>
      <x:c r="K681" s="53" t="n">
        <x:v>9.391018</x:v>
      </x:c>
      <x:c r="L681" s="53" t="n">
        <x:v>33.7565</x:v>
      </x:c>
      <x:c r="M681" s="53" t="n">
        <x:v>-84.4038</x:v>
      </x:c>
      <x:c r="N681" s="54" t="n">
        <x:v>250</x:v>
      </x:c>
      <x:c r="O681" s="54" t="n">
        <x:v>0</x:v>
      </x:c>
    </x:row>
    <x:row r="682">
      <x:c r="A682" s="54" t="n">
        <x:v>678</x:v>
      </x:c>
      <x:c r="B682" s="54" t="n">
        <x:v>7</x:v>
      </x:c>
      <x:c r="C682" s="54" t="n">
        <x:v>14</x:v>
      </x:c>
      <x:c r="D682" s="54" t="n">
        <x:v>0</x:v>
      </x:c>
      <x:c r="E682" s="54" t="n">
        <x:v>64478</x:v>
      </x:c>
      <x:c r="F682" s="54" t="n">
        <x:v>46337</x:v>
      </x:c>
      <x:c r="G682" s="54" t="n">
        <x:v>7153</x:v>
      </x:c>
      <x:c r="H682" s="54" t="n">
        <x:v>5541</x:v>
      </x:c>
      <x:c r="I682" s="54" t="n">
        <x:v>2493</x:v>
      </x:c>
      <x:c r="J682" s="54" t="n">
        <x:v>106</x:v>
      </x:c>
      <x:c r="K682" s="53" t="n">
        <x:v>8.69743</x:v>
      </x:c>
      <x:c r="L682" s="53" t="n">
        <x:v>25.9549</x:v>
      </x:c>
      <x:c r="M682" s="53" t="n">
        <x:v>-80.2383</x:v>
      </x:c>
      <x:c r="N682" s="54" t="n">
        <x:v>350</x:v>
      </x:c>
      <x:c r="O682" s="54" t="n">
        <x:v>0</x:v>
      </x:c>
    </x:row>
    <x:row r="683">
      <x:c r="A683" s="54" t="n">
        <x:v>679</x:v>
      </x:c>
      <x:c r="B683" s="54" t="n">
        <x:v>8</x:v>
      </x:c>
      <x:c r="C683" s="54" t="n">
        <x:v>15</x:v>
      </x:c>
      <x:c r="D683" s="54" t="n">
        <x:v>0</x:v>
      </x:c>
      <x:c r="E683" s="54" t="n">
        <x:v>80663</x:v>
      </x:c>
      <x:c r="F683" s="54" t="n">
        <x:v>60623</x:v>
      </x:c>
      <x:c r="G683" s="54" t="n">
        <x:v>15401</x:v>
      </x:c>
      <x:c r="H683" s="54" t="n">
        <x:v>43601</x:v>
      </x:c>
      <x:c r="I683" s="54" t="n">
        <x:v>23981</x:v>
      </x:c>
      <x:c r="J683" s="54" t="n">
        <x:v>51</x:v>
      </x:c>
      <x:c r="K683" s="53" t="n">
        <x:v>10.438681</x:v>
      </x:c>
      <x:c r="L683" s="53" t="n">
        <x:v>40.807664</x:v>
      </x:c>
      <x:c r="M683" s="53" t="n">
        <x:v>-74.069833</x:v>
      </x:c>
      <x:c r="N683" s="54" t="n">
        <x:v>250</x:v>
      </x:c>
      <x:c r="O683" s="54" t="n">
        <x:v>0</x:v>
      </x:c>
    </x:row>
    <x:row r="684">
      <x:c r="A684" s="54" t="n">
        <x:v>680</x:v>
      </x:c>
      <x:c r="B684" s="54" t="n">
        <x:v>10</x:v>
      </x:c>
      <x:c r="C684" s="54" t="n">
        <x:v>19</x:v>
      </x:c>
      <x:c r="D684" s="54" t="n">
        <x:v>0</x:v>
      </x:c>
      <x:c r="E684" s="54" t="n">
        <x:v>68827</x:v>
      </x:c>
      <x:c r="F684" s="54" t="n">
        <x:v>67099</x:v>
      </x:c>
      <x:c r="G684" s="54" t="n">
        <x:v>34586</x:v>
      </x:c>
      <x:c r="H684" s="54" t="n">
        <x:v>27754</x:v>
      </x:c>
      <x:c r="I684" s="54" t="n">
        <x:v>18040</x:v>
      </x:c>
      <x:c r="J684" s="54" t="n">
        <x:v>100</x:v>
      </x:c>
      <x:c r="K684" s="53" t="n">
        <x:v>8.807888</x:v>
      </x:c>
      <x:c r="L684" s="53" t="n">
        <x:v>37.403468</x:v>
      </x:c>
      <x:c r="M684" s="53" t="n">
        <x:v>-121.974908</x:v>
      </x:c>
      <x:c r="N684" s="54" t="n">
        <x:v>250</x:v>
      </x:c>
      <x:c r="O684" s="54" t="n">
        <x:v>1</x:v>
      </x:c>
    </x:row>
    <x:row r="685">
      <x:c r="A685" s="54" t="n">
        <x:v>681</x:v>
      </x:c>
      <x:c r="B685" s="54" t="n">
        <x:v>2</x:v>
      </x:c>
      <x:c r="C685" s="54" t="n">
        <x:v>3</x:v>
      </x:c>
      <x:c r="D685" s="54" t="n">
        <x:v>1</x:v>
      </x:c>
      <x:c r="E685" s="54" t="n">
        <x:v>64146</x:v>
      </x:c>
      <x:c r="F685" s="54" t="n">
        <x:v>61942</x:v>
      </x:c>
      <x:c r="G685" s="54" t="n">
        <x:v>17956</x:v>
      </x:c>
      <x:c r="H685" s="54" t="n">
        <x:v>14575</x:v>
      </x:c>
      <x:c r="I685" s="54" t="n">
        <x:v>9474</x:v>
      </x:c>
      <x:c r="J685" s="54" t="n">
        <x:v>121</x:v>
      </x:c>
      <x:c r="K685" s="53" t="n">
        <x:v>8.671598</x:v>
      </x:c>
      <x:c r="L685" s="53" t="n">
        <x:v>42.0889</x:v>
      </x:c>
      <x:c r="M685" s="53" t="n">
        <x:v>-71.2597</x:v>
      </x:c>
      <x:c r="N685" s="54" t="n">
        <x:v>250</x:v>
      </x:c>
      <x:c r="O685" s="54" t="n">
        <x:v>1</x:v>
      </x:c>
    </x:row>
    <x:row r="686">
      <x:c r="A686" s="54" t="n">
        <x:v>682</x:v>
      </x:c>
      <x:c r="B686" s="54" t="n">
        <x:v>1</x:v>
      </x:c>
      <x:c r="C686" s="54" t="n">
        <x:v>1</x:v>
      </x:c>
      <x:c r="D686" s="54" t="n">
        <x:v>0</x:v>
      </x:c>
      <x:c r="E686" s="54" t="n">
        <x:v>68239</x:v>
      </x:c>
      <x:c r="F686" s="54" t="n">
        <x:v>55808</x:v>
      </x:c>
      <x:c r="G686" s="54" t="n">
        <x:v>29716</x:v>
      </x:c>
      <x:c r="H686" s="54" t="n">
        <x:v>18724</x:v>
      </x:c>
      <x:c r="I686" s="54" t="n">
        <x:v>10860</x:v>
      </x:c>
      <x:c r="J686" s="54" t="n">
        <x:v>56</x:v>
      </x:c>
      <x:c r="K686" s="53" t="n">
        <x:v>9.391018</x:v>
      </x:c>
      <x:c r="L686" s="53" t="n">
        <x:v>33.7565</x:v>
      </x:c>
      <x:c r="M686" s="53" t="n">
        <x:v>-84.4038</x:v>
      </x:c>
      <x:c r="N686" s="54" t="n">
        <x:v>250</x:v>
      </x:c>
      <x:c r="O686" s="54" t="n">
        <x:v>0</x:v>
      </x:c>
    </x:row>
    <x:row r="687">
      <x:c r="A687" s="54" t="n">
        <x:v>683</x:v>
      </x:c>
      <x:c r="B687" s="54" t="n">
        <x:v>6</x:v>
      </x:c>
      <x:c r="C687" s="54" t="n">
        <x:v>11</x:v>
      </x:c>
      <x:c r="D687" s="54" t="n">
        <x:v>0</x:v>
      </x:c>
      <x:c r="E687" s="54" t="n">
        <x:v>70492</x:v>
      </x:c>
      <x:c r="F687" s="54" t="n">
        <x:v>59688</x:v>
      </x:c>
      <x:c r="G687" s="54" t="n">
        <x:v>23525</x:v>
      </x:c>
      <x:c r="H687" s="54" t="n">
        <x:v>5776</x:v>
      </x:c>
      <x:c r="I687" s="54" t="n">
        <x:v>2888</x:v>
      </x:c>
      <x:c r="J687" s="54" t="n">
        <x:v>86</x:v>
      </x:c>
      <x:c r="K687" s="53" t="n">
        <x:v>9.603284</x:v>
      </x:c>
      <x:c r="L687" s="53" t="n">
        <x:v>33.9509</x:v>
      </x:c>
      <x:c r="M687" s="53" t="n">
        <x:v>-118.3441</x:v>
      </x:c>
      <x:c r="N687" s="54" t="n">
        <x:v>350</x:v>
      </x:c>
      <x:c r="O687" s="54" t="n">
        <x:v>0</x:v>
      </x:c>
    </x:row>
    <x:row r="688">
      <x:c r="A688" s="54" t="n">
        <x:v>684</x:v>
      </x:c>
      <x:c r="B688" s="54" t="n">
        <x:v>8</x:v>
      </x:c>
      <x:c r="C688" s="54" t="n">
        <x:v>16</x:v>
      </x:c>
      <x:c r="D688" s="54" t="n">
        <x:v>0</x:v>
      </x:c>
      <x:c r="E688" s="54" t="n">
        <x:v>80663</x:v>
      </x:c>
      <x:c r="F688" s="54" t="n">
        <x:v>67761</x:v>
      </x:c>
      <x:c r="G688" s="54" t="n">
        <x:v>13302</x:v>
      </x:c>
      <x:c r="H688" s="54" t="n">
        <x:v>39487</x:v>
      </x:c>
      <x:c r="I688" s="54" t="n">
        <x:v>17769</x:v>
      </x:c>
      <x:c r="J688" s="54" t="n">
        <x:v>83</x:v>
      </x:c>
      <x:c r="K688" s="53" t="n">
        <x:v>10.438681</x:v>
      </x:c>
      <x:c r="L688" s="53" t="n">
        <x:v>40.81145</x:v>
      </x:c>
      <x:c r="M688" s="53" t="n">
        <x:v>-74.07075</x:v>
      </x:c>
      <x:c r="N688" s="54" t="n">
        <x:v>350</x:v>
      </x:c>
      <x:c r="O688" s="54" t="n">
        <x:v>0</x:v>
      </x:c>
    </x:row>
    <x:row r="689">
      <x:c r="A689" s="54" t="n">
        <x:v>685</x:v>
      </x:c>
      <x:c r="B689" s="54" t="n">
        <x:v>10</x:v>
      </x:c>
      <x:c r="C689" s="54" t="n">
        <x:v>19</x:v>
      </x:c>
      <x:c r="D689" s="54" t="n">
        <x:v>1</x:v>
      </x:c>
      <x:c r="E689" s="54" t="n">
        <x:v>68827</x:v>
      </x:c>
      <x:c r="F689" s="54" t="n">
        <x:v>59138</x:v>
      </x:c>
      <x:c r="G689" s="54" t="n">
        <x:v>28051</x:v>
      </x:c>
      <x:c r="H689" s="54" t="n">
        <x:v>21847</x:v>
      </x:c>
      <x:c r="I689" s="54" t="n">
        <x:v>14201</x:v>
      </x:c>
      <x:c r="J689" s="54" t="n">
        <x:v>99</x:v>
      </x:c>
      <x:c r="K689" s="53" t="n">
        <x:v>8.807888</x:v>
      </x:c>
      <x:c r="L689" s="53" t="n">
        <x:v>37.403468</x:v>
      </x:c>
      <x:c r="M689" s="53" t="n">
        <x:v>-121.974908</x:v>
      </x:c>
      <x:c r="N689" s="54" t="n">
        <x:v>250</x:v>
      </x:c>
      <x:c r="O689" s="54" t="n">
        <x:v>1</x:v>
      </x:c>
    </x:row>
    <x:row r="690">
      <x:c r="A690" s="54" t="n">
        <x:v>686</x:v>
      </x:c>
      <x:c r="B690" s="54" t="n">
        <x:v>10</x:v>
      </x:c>
      <x:c r="C690" s="54" t="n">
        <x:v>19</x:v>
      </x:c>
      <x:c r="D690" s="54" t="n">
        <x:v>0</x:v>
      </x:c>
      <x:c r="E690" s="54" t="n">
        <x:v>68827</x:v>
      </x:c>
      <x:c r="F690" s="54" t="n">
        <x:v>57893</x:v>
      </x:c>
      <x:c r="G690" s="54" t="n">
        <x:v>32701</x:v>
      </x:c>
      <x:c r="H690" s="54" t="n">
        <x:v>21686</x:v>
      </x:c>
      <x:c r="I690" s="54" t="n">
        <x:v>14096</x:v>
      </x:c>
      <x:c r="J690" s="54" t="n">
        <x:v>84</x:v>
      </x:c>
      <x:c r="K690" s="53" t="n">
        <x:v>8.807888</x:v>
      </x:c>
      <x:c r="L690" s="53" t="n">
        <x:v>37.403468</x:v>
      </x:c>
      <x:c r="M690" s="53" t="n">
        <x:v>-121.974908</x:v>
      </x:c>
      <x:c r="N690" s="54" t="n">
        <x:v>250</x:v>
      </x:c>
      <x:c r="O690" s="54" t="n">
        <x:v>1</x:v>
      </x:c>
    </x:row>
    <x:row r="691">
      <x:c r="A691" s="54" t="n">
        <x:v>687</x:v>
      </x:c>
      <x:c r="B691" s="54" t="n">
        <x:v>11</x:v>
      </x:c>
      <x:c r="C691" s="54" t="n">
        <x:v>21</x:v>
      </x:c>
      <x:c r="D691" s="54" t="n">
        <x:v>0</x:v>
      </x:c>
      <x:c r="E691" s="54" t="n">
        <x:v>66925</x:v>
      </x:c>
      <x:c r="F691" s="54" t="n">
        <x:v>60872</x:v>
      </x:c>
      <x:c r="G691" s="54" t="n">
        <x:v>35573</x:v>
      </x:c>
      <x:c r="H691" s="54" t="n">
        <x:v>35896</x:v>
      </x:c>
      <x:c r="I691" s="54" t="n">
        <x:v>19743</x:v>
      </x:c>
      <x:c r="J691" s="54" t="n">
        <x:v>70</x:v>
      </x:c>
      <x:c r="K691" s="53" t="n">
        <x:v>8.408439</x:v>
      </x:c>
      <x:c r="L691" s="53" t="n">
        <x:v>47.5917</x:v>
      </x:c>
      <x:c r="M691" s="53" t="n">
        <x:v>-122.3272</x:v>
      </x:c>
      <x:c r="N691" s="54" t="n">
        <x:v>250</x:v>
      </x:c>
      <x:c r="O691" s="54" t="n">
        <x:v>1</x:v>
      </x:c>
    </x:row>
    <x:row r="692">
      <x:c r="A692" s="54" t="n">
        <x:v>688</x:v>
      </x:c>
      <x:c r="B692" s="54" t="n">
        <x:v>2</x:v>
      </x:c>
      <x:c r="C692" s="54" t="n">
        <x:v>4</x:v>
      </x:c>
      <x:c r="D692" s="54" t="n">
        <x:v>0</x:v>
      </x:c>
      <x:c r="E692" s="54" t="n">
        <x:v>64146</x:v>
      </x:c>
      <x:c r="F692" s="54" t="n">
        <x:v>59248</x:v>
      </x:c>
      <x:c r="G692" s="54" t="n">
        <x:v>13346</x:v>
      </x:c>
      <x:c r="H692" s="54" t="n">
        <x:v>19199</x:v>
      </x:c>
      <x:c r="I692" s="54" t="n">
        <x:v>6720</x:v>
      </x:c>
      <x:c r="J692" s="54" t="n">
        <x:v>104</x:v>
      </x:c>
      <x:c r="K692" s="53" t="n">
        <x:v>8.671598</x:v>
      </x:c>
      <x:c r="L692" s="53" t="n">
        <x:v>42.0916</x:v>
      </x:c>
      <x:c r="M692" s="53" t="n">
        <x:v>-71.2648</x:v>
      </x:c>
      <x:c r="N692" s="54" t="n">
        <x:v>300</x:v>
      </x:c>
      <x:c r="O692" s="54" t="n">
        <x:v>1</x:v>
      </x:c>
    </x:row>
    <x:row r="693">
      <x:c r="A693" s="54" t="n">
        <x:v>689</x:v>
      </x:c>
      <x:c r="B693" s="54" t="n">
        <x:v>9</x:v>
      </x:c>
      <x:c r="C693" s="54" t="n">
        <x:v>17</x:v>
      </x:c>
      <x:c r="D693" s="54" t="n">
        <x:v>0</x:v>
      </x:c>
      <x:c r="E693" s="54" t="n">
        <x:v>68324</x:v>
      </x:c>
      <x:c r="F693" s="54" t="n">
        <x:v>58966</x:v>
      </x:c>
      <x:c r="G693" s="54" t="n">
        <x:v>28803</x:v>
      </x:c>
      <x:c r="H693" s="54" t="n">
        <x:v>31283</x:v>
      </x:c>
      <x:c r="I693" s="54" t="n">
        <x:v>18770</x:v>
      </x:c>
      <x:c r="J693" s="54" t="n">
        <x:v>76</x:v>
      </x:c>
      <x:c r="K693" s="53" t="n">
        <x:v>8.474327</x:v>
      </x:c>
      <x:c r="L693" s="53" t="n">
        <x:v>39.9047</x:v>
      </x:c>
      <x:c r="M693" s="53" t="n">
        <x:v>-75.1736</x:v>
      </x:c>
      <x:c r="N693" s="54" t="n">
        <x:v>250</x:v>
      </x:c>
      <x:c r="O693" s="54" t="n">
        <x:v>1</x:v>
      </x:c>
    </x:row>
    <x:row r="694">
      <x:c r="A694" s="54" t="n">
        <x:v>690</x:v>
      </x:c>
      <x:c r="B694" s="54" t="n">
        <x:v>3</x:v>
      </x:c>
      <x:c r="C694" s="54" t="n">
        <x:v>6</x:v>
      </x:c>
      <x:c r="D694" s="54" t="n">
        <x:v>0</x:v>
      </x:c>
      <x:c r="E694" s="54" t="n">
        <x:v>70649</x:v>
      </x:c>
      <x:c r="F694" s="54" t="n">
        <x:v>62365</x:v>
      </x:c>
      <x:c r="G694" s="54" t="n">
        <x:v>14892</x:v>
      </x:c>
      <x:c r="H694" s="54" t="n">
        <x:v>8947</x:v>
      </x:c>
      <x:c r="I694" s="54" t="n">
        <x:v>4026</x:v>
      </x:c>
      <x:c r="J694" s="54" t="n">
        <x:v>114</x:v>
      </x:c>
      <x:c r="K694" s="53" t="n">
        <x:v>10.033037</x:v>
      </x:c>
      <x:c r="L694" s="53" t="n">
        <x:v>32.7506</x:v>
      </x:c>
      <x:c r="M694" s="53" t="n">
        <x:v>-97.0915</x:v>
      </x:c>
      <x:c r="N694" s="54" t="n">
        <x:v>350</x:v>
      </x:c>
      <x:c r="O694" s="54" t="n">
        <x:v>0</x:v>
      </x:c>
    </x:row>
    <x:row r="695">
      <x:c r="A695" s="54" t="n">
        <x:v>691</x:v>
      </x:c>
      <x:c r="B695" s="54" t="n">
        <x:v>8</x:v>
      </x:c>
      <x:c r="C695" s="54" t="n">
        <x:v>15</x:v>
      </x:c>
      <x:c r="D695" s="54" t="n">
        <x:v>0</x:v>
      </x:c>
      <x:c r="E695" s="54" t="n">
        <x:v>80663</x:v>
      </x:c>
      <x:c r="F695" s="54" t="n">
        <x:v>63808</x:v>
      </x:c>
      <x:c r="G695" s="54" t="n">
        <x:v>18251</x:v>
      </x:c>
      <x:c r="H695" s="54" t="n">
        <x:v>37797</x:v>
      </x:c>
      <x:c r="I695" s="54" t="n">
        <x:v>20788</x:v>
      </x:c>
      <x:c r="J695" s="54" t="n">
        <x:v>69</x:v>
      </x:c>
      <x:c r="K695" s="53" t="n">
        <x:v>10.438681</x:v>
      </x:c>
      <x:c r="L695" s="53" t="n">
        <x:v>40.807664</x:v>
      </x:c>
      <x:c r="M695" s="53" t="n">
        <x:v>-74.069833</x:v>
      </x:c>
      <x:c r="N695" s="54" t="n">
        <x:v>250</x:v>
      </x:c>
      <x:c r="O695" s="54" t="n">
        <x:v>0</x:v>
      </x:c>
    </x:row>
    <x:row r="696">
      <x:c r="A696" s="54" t="n">
        <x:v>692</x:v>
      </x:c>
      <x:c r="B696" s="54" t="n">
        <x:v>5</x:v>
      </x:c>
      <x:c r="C696" s="54" t="n">
        <x:v>10</x:v>
      </x:c>
      <x:c r="D696" s="54" t="n">
        <x:v>1</x:v>
      </x:c>
      <x:c r="E696" s="54" t="n">
        <x:v>69045</x:v>
      </x:c>
      <x:c r="F696" s="54" t="n">
        <x:v>63333</x:v>
      </x:c>
      <x:c r="G696" s="54" t="n">
        <x:v>4500</x:v>
      </x:c>
      <x:c r="H696" s="54" t="n">
        <x:v>5067</x:v>
      </x:c>
      <x:c r="I696" s="54" t="n">
        <x:v>2280</x:v>
      </x:c>
      <x:c r="J696" s="54" t="n">
        <x:v>121</x:v>
      </x:c>
      <x:c r="K696" s="53" t="n">
        <x:v>8.632123</x:v>
      </x:c>
      <x:c r="L696" s="53" t="n">
        <x:v>39.0491</x:v>
      </x:c>
      <x:c r="M696" s="53" t="n">
        <x:v>-94.4871</x:v>
      </x:c>
      <x:c r="N696" s="54" t="n">
        <x:v>400</x:v>
      </x:c>
      <x:c r="O696" s="54" t="n">
        <x:v>0</x:v>
      </x:c>
    </x:row>
    <x:row r="697">
      <x:c r="A697" s="54" t="n">
        <x:v>693</x:v>
      </x:c>
      <x:c r="B697" s="54" t="n">
        <x:v>11</x:v>
      </x:c>
      <x:c r="C697" s="54" t="n">
        <x:v>21</x:v>
      </x:c>
      <x:c r="D697" s="54" t="n">
        <x:v>0</x:v>
      </x:c>
      <x:c r="E697" s="54" t="n">
        <x:v>66925</x:v>
      </x:c>
      <x:c r="F697" s="54" t="n">
        <x:v>55974</x:v>
      </x:c>
      <x:c r="G697" s="54" t="n">
        <x:v>29021</x:v>
      </x:c>
      <x:c r="H697" s="54" t="n">
        <x:v>27438</x:v>
      </x:c>
      <x:c r="I697" s="54" t="n">
        <x:v>15091</x:v>
      </x:c>
      <x:c r="J697" s="54" t="n">
        <x:v>69</x:v>
      </x:c>
      <x:c r="K697" s="53" t="n">
        <x:v>8.408439</x:v>
      </x:c>
      <x:c r="L697" s="53" t="n">
        <x:v>47.5917</x:v>
      </x:c>
      <x:c r="M697" s="53" t="n">
        <x:v>-122.3272</x:v>
      </x:c>
      <x:c r="N697" s="54" t="n">
        <x:v>250</x:v>
      </x:c>
      <x:c r="O697" s="54" t="n">
        <x:v>0</x:v>
      </x:c>
    </x:row>
    <x:row r="698">
      <x:c r="A698" s="54" t="n">
        <x:v>694</x:v>
      </x:c>
      <x:c r="B698" s="54" t="n">
        <x:v>3</x:v>
      </x:c>
      <x:c r="C698" s="54" t="n">
        <x:v>6</x:v>
      </x:c>
      <x:c r="D698" s="54" t="n">
        <x:v>0</x:v>
      </x:c>
      <x:c r="E698" s="54" t="n">
        <x:v>70649</x:v>
      </x:c>
      <x:c r="F698" s="54" t="n">
        <x:v>63335</x:v>
      </x:c>
      <x:c r="G698" s="54" t="n">
        <x:v>8919</x:v>
      </x:c>
      <x:c r="H698" s="54" t="n">
        <x:v>5067</x:v>
      </x:c>
      <x:c r="I698" s="54" t="n">
        <x:v>2280</x:v>
      </x:c>
      <x:c r="J698" s="54" t="n">
        <x:v>121</x:v>
      </x:c>
      <x:c r="K698" s="53" t="n">
        <x:v>10.033037</x:v>
      </x:c>
      <x:c r="L698" s="53" t="n">
        <x:v>32.7506</x:v>
      </x:c>
      <x:c r="M698" s="53" t="n">
        <x:v>-97.0915</x:v>
      </x:c>
      <x:c r="N698" s="54" t="n">
        <x:v>350</x:v>
      </x:c>
      <x:c r="O698" s="54" t="n">
        <x:v>0</x:v>
      </x:c>
    </x:row>
    <x:row r="699">
      <x:c r="A699" s="54" t="n">
        <x:v>695</x:v>
      </x:c>
      <x:c r="B699" s="54" t="n">
        <x:v>8</x:v>
      </x:c>
      <x:c r="C699" s="54" t="n">
        <x:v>16</x:v>
      </x:c>
      <x:c r="D699" s="54" t="n">
        <x:v>0</x:v>
      </x:c>
      <x:c r="E699" s="54" t="n">
        <x:v>80663</x:v>
      </x:c>
      <x:c r="F699" s="54" t="n">
        <x:v>63525</x:v>
      </x:c>
      <x:c r="G699" s="54" t="n">
        <x:v>14251</x:v>
      </x:c>
      <x:c r="H699" s="54" t="n">
        <x:v>42687</x:v>
      </x:c>
      <x:c r="I699" s="54" t="n">
        <x:v>19209</x:v>
      </x:c>
      <x:c r="J699" s="54" t="n">
        <x:v>74</x:v>
      </x:c>
      <x:c r="K699" s="53" t="n">
        <x:v>10.438681</x:v>
      </x:c>
      <x:c r="L699" s="53" t="n">
        <x:v>40.81145</x:v>
      </x:c>
      <x:c r="M699" s="53" t="n">
        <x:v>-74.07075</x:v>
      </x:c>
      <x:c r="N699" s="54" t="n">
        <x:v>350</x:v>
      </x:c>
      <x:c r="O699" s="54" t="n">
        <x:v>0</x:v>
      </x:c>
    </x:row>
    <x:row r="700">
      <x:c r="A700" s="54" t="n">
        <x:v>696</x:v>
      </x:c>
      <x:c r="B700" s="54" t="n">
        <x:v>4</x:v>
      </x:c>
      <x:c r="C700" s="54" t="n">
        <x:v>7</x:v>
      </x:c>
      <x:c r="D700" s="54" t="n">
        <x:v>0</x:v>
      </x:c>
      <x:c r="E700" s="54" t="n">
        <x:v>68777</x:v>
      </x:c>
      <x:c r="F700" s="54" t="n">
        <x:v>60649</x:v>
      </x:c>
      <x:c r="G700" s="54" t="n">
        <x:v>22074</x:v>
      </x:c>
      <x:c r="H700" s="54" t="n">
        <x:v>21710</x:v>
      </x:c>
      <x:c r="I700" s="54" t="n">
        <x:v>13026</x:v>
      </x:c>
      <x:c r="J700" s="54" t="n">
        <x:v>82</x:v>
      </x:c>
      <x:c r="K700" s="53" t="n">
        <x:v>9.092387</x:v>
      </x:c>
      <x:c r="L700" s="53" t="n">
        <x:v>29.6852</x:v>
      </x:c>
      <x:c r="M700" s="53" t="n">
        <x:v>-95.407</x:v>
      </x:c>
      <x:c r="N700" s="54" t="n">
        <x:v>250</x:v>
      </x:c>
      <x:c r="O700" s="54" t="n">
        <x:v>0</x:v>
      </x:c>
    </x:row>
    <x:row r="701">
      <x:c r="A701" s="54" t="n">
        <x:v>697</x:v>
      </x:c>
      <x:c r="B701" s="54" t="n">
        <x:v>5</x:v>
      </x:c>
      <x:c r="C701" s="54" t="n">
        <x:v>10</x:v>
      </x:c>
      <x:c r="D701" s="54" t="n">
        <x:v>0</x:v>
      </x:c>
      <x:c r="E701" s="54" t="n">
        <x:v>69045</x:v>
      </x:c>
      <x:c r="F701" s="54" t="n">
        <x:v>51029</x:v>
      </x:c>
      <x:c r="G701" s="54" t="n">
        <x:v>4194</x:v>
      </x:c>
      <x:c r="H701" s="54" t="n">
        <x:v>8773</x:v>
      </x:c>
      <x:c r="I701" s="54" t="n">
        <x:v>3948</x:v>
      </x:c>
      <x:c r="J701" s="54" t="n">
        <x:v>113</x:v>
      </x:c>
      <x:c r="K701" s="53" t="n">
        <x:v>8.632123</x:v>
      </x:c>
      <x:c r="L701" s="53" t="n">
        <x:v>39.0491</x:v>
      </x:c>
      <x:c r="M701" s="53" t="n">
        <x:v>-94.4871</x:v>
      </x:c>
      <x:c r="N701" s="54" t="n">
        <x:v>400</x:v>
      </x:c>
      <x:c r="O701" s="54" t="n">
        <x:v>0</x:v>
      </x:c>
    </x:row>
    <x:row r="702">
      <x:c r="A702" s="54" t="n">
        <x:v>698</x:v>
      </x:c>
      <x:c r="B702" s="54" t="n">
        <x:v>6</x:v>
      </x:c>
      <x:c r="C702" s="54" t="n">
        <x:v>11</x:v>
      </x:c>
      <x:c r="D702" s="54" t="n">
        <x:v>0</x:v>
      </x:c>
      <x:c r="E702" s="54" t="n">
        <x:v>70492</x:v>
      </x:c>
      <x:c r="F702" s="54" t="n">
        <x:v>56965</x:v>
      </x:c>
      <x:c r="G702" s="54" t="n">
        <x:v>22616</x:v>
      </x:c>
      <x:c r="H702" s="54" t="n">
        <x:v>11602</x:v>
      </x:c>
      <x:c r="I702" s="54" t="n">
        <x:v>5801</x:v>
      </x:c>
      <x:c r="J702" s="54" t="n">
        <x:v>117</x:v>
      </x:c>
      <x:c r="K702" s="53" t="n">
        <x:v>9.603284</x:v>
      </x:c>
      <x:c r="L702" s="53" t="n">
        <x:v>33.9509</x:v>
      </x:c>
      <x:c r="M702" s="53" t="n">
        <x:v>-118.3441</x:v>
      </x:c>
      <x:c r="N702" s="54" t="n">
        <x:v>350</x:v>
      </x:c>
      <x:c r="O702" s="54" t="n">
        <x:v>0</x:v>
      </x:c>
    </x:row>
    <x:row r="703">
      <x:c r="A703" s="54" t="n">
        <x:v>699</x:v>
      </x:c>
      <x:c r="B703" s="54" t="n">
        <x:v>3</x:v>
      </x:c>
      <x:c r="C703" s="54" t="n">
        <x:v>6</x:v>
      </x:c>
      <x:c r="D703" s="54" t="n">
        <x:v>0</x:v>
      </x:c>
      <x:c r="E703" s="54" t="n">
        <x:v>70649</x:v>
      </x:c>
      <x:c r="F703" s="54" t="n">
        <x:v>58512</x:v>
      </x:c>
      <x:c r="G703" s="54" t="n">
        <x:v>8735</x:v>
      </x:c>
      <x:c r="H703" s="54" t="n">
        <x:v>8733</x:v>
      </x:c>
      <x:c r="I703" s="54" t="n">
        <x:v>3930</x:v>
      </x:c>
      <x:c r="J703" s="54" t="n">
        <x:v>110</x:v>
      </x:c>
      <x:c r="K703" s="53" t="n">
        <x:v>10.033037</x:v>
      </x:c>
      <x:c r="L703" s="53" t="n">
        <x:v>32.7506</x:v>
      </x:c>
      <x:c r="M703" s="53" t="n">
        <x:v>-97.0915</x:v>
      </x:c>
      <x:c r="N703" s="54" t="n">
        <x:v>350</x:v>
      </x:c>
      <x:c r="O703" s="54" t="n">
        <x:v>0</x:v>
      </x:c>
    </x:row>
    <x:row r="704">
      <x:c r="A704" s="54" t="n">
        <x:v>700</x:v>
      </x:c>
      <x:c r="B704" s="54" t="n">
        <x:v>5</x:v>
      </x:c>
      <x:c r="C704" s="54" t="n">
        <x:v>10</x:v>
      </x:c>
      <x:c r="D704" s="54" t="n">
        <x:v>3</x:v>
      </x:c>
      <x:c r="E704" s="54" t="n">
        <x:v>69045</x:v>
      </x:c>
      <x:c r="F704" s="54" t="n">
        <x:v>68219</x:v>
      </x:c>
      <x:c r="G704" s="54" t="n">
        <x:v>10899</x:v>
      </x:c>
      <x:c r="H704" s="54" t="n">
        <x:v>11422</x:v>
      </x:c>
      <x:c r="I704" s="54" t="n">
        <x:v>5140</x:v>
      </x:c>
      <x:c r="J704" s="54" t="n">
        <x:v>116</x:v>
      </x:c>
      <x:c r="K704" s="53" t="n">
        <x:v>8.632123</x:v>
      </x:c>
      <x:c r="L704" s="53" t="n">
        <x:v>39.0491</x:v>
      </x:c>
      <x:c r="M704" s="53" t="n">
        <x:v>-94.4871</x:v>
      </x:c>
      <x:c r="N704" s="54" t="n">
        <x:v>400</x:v>
      </x:c>
      <x:c r="O704" s="54" t="n">
        <x:v>1</x:v>
      </x:c>
    </x:row>
    <x:row r="705">
      <x:c r="A705" s="54" t="n">
        <x:v>701</x:v>
      </x:c>
      <x:c r="B705" s="54" t="n">
        <x:v>9</x:v>
      </x:c>
      <x:c r="C705" s="54" t="n">
        <x:v>17</x:v>
      </x:c>
      <x:c r="D705" s="54" t="n">
        <x:v>1</x:v>
      </x:c>
      <x:c r="E705" s="54" t="n">
        <x:v>68324</x:v>
      </x:c>
      <x:c r="F705" s="54" t="n">
        <x:v>52189</x:v>
      </x:c>
      <x:c r="G705" s="54" t="n">
        <x:v>19947</x:v>
      </x:c>
      <x:c r="H705" s="54" t="n">
        <x:v>22121</x:v>
      </x:c>
      <x:c r="I705" s="54" t="n">
        <x:v>13273</x:v>
      </x:c>
      <x:c r="J705" s="54" t="n">
        <x:v>75</x:v>
      </x:c>
      <x:c r="K705" s="53" t="n">
        <x:v>8.474327</x:v>
      </x:c>
      <x:c r="L705" s="53" t="n">
        <x:v>39.9047</x:v>
      </x:c>
      <x:c r="M705" s="53" t="n">
        <x:v>-75.1736</x:v>
      </x:c>
      <x:c r="N705" s="54" t="n">
        <x:v>250</x:v>
      </x:c>
      <x:c r="O705" s="54" t="n">
        <x:v>0</x:v>
      </x:c>
    </x:row>
    <x:row r="706">
      <x:c r="A706" s="54" t="n">
        <x:v>702</x:v>
      </x:c>
      <x:c r="B706" s="54" t="n">
        <x:v>6</x:v>
      </x:c>
      <x:c r="C706" s="54" t="n">
        <x:v>11</x:v>
      </x:c>
      <x:c r="D706" s="54" t="n">
        <x:v>0</x:v>
      </x:c>
      <x:c r="E706" s="54" t="n">
        <x:v>70492</x:v>
      </x:c>
      <x:c r="F706" s="54" t="n">
        <x:v>62218</x:v>
      </x:c>
      <x:c r="G706" s="54" t="n">
        <x:v>27898</x:v>
      </x:c>
      <x:c r="H706" s="54" t="n">
        <x:v>13299</x:v>
      </x:c>
      <x:c r="I706" s="54" t="n">
        <x:v>6650</x:v>
      </x:c>
      <x:c r="J706" s="54" t="n">
        <x:v>109</x:v>
      </x:c>
      <x:c r="K706" s="53" t="n">
        <x:v>9.603284</x:v>
      </x:c>
      <x:c r="L706" s="53" t="n">
        <x:v>33.9509</x:v>
      </x:c>
      <x:c r="M706" s="53" t="n">
        <x:v>-118.3441</x:v>
      </x:c>
      <x:c r="N706" s="54" t="n">
        <x:v>350</x:v>
      </x:c>
      <x:c r="O706" s="54" t="n">
        <x:v>0</x:v>
      </x:c>
    </x:row>
    <x:row r="707">
      <x:c r="A707" s="54" t="n">
        <x:v>703</x:v>
      </x:c>
      <x:c r="B707" s="54" t="n">
        <x:v>6</x:v>
      </x:c>
      <x:c r="C707" s="54" t="n">
        <x:v>11</x:v>
      </x:c>
      <x:c r="D707" s="54" t="n">
        <x:v>0</x:v>
      </x:c>
      <x:c r="E707" s="54" t="n">
        <x:v>70492</x:v>
      </x:c>
      <x:c r="F707" s="54" t="n">
        <x:v>66744</x:v>
      </x:c>
      <x:c r="G707" s="54" t="n">
        <x:v>29740</x:v>
      </x:c>
      <x:c r="H707" s="54" t="n">
        <x:v>11286</x:v>
      </x:c>
      <x:c r="I707" s="54" t="n">
        <x:v>5643</x:v>
      </x:c>
      <x:c r="J707" s="54" t="n">
        <x:v>113</x:v>
      </x:c>
      <x:c r="K707" s="53" t="n">
        <x:v>9.603284</x:v>
      </x:c>
      <x:c r="L707" s="53" t="n">
        <x:v>33.9509</x:v>
      </x:c>
      <x:c r="M707" s="53" t="n">
        <x:v>-118.3441</x:v>
      </x:c>
      <x:c r="N707" s="54" t="n">
        <x:v>350</x:v>
      </x:c>
      <x:c r="O707" s="54" t="n">
        <x:v>1</x:v>
      </x:c>
    </x:row>
    <x:row r="708">
      <x:c r="A708" s="54" t="n">
        <x:v>704</x:v>
      </x:c>
      <x:c r="B708" s="54" t="n">
        <x:v>6</x:v>
      </x:c>
      <x:c r="C708" s="54" t="n">
        <x:v>11</x:v>
      </x:c>
      <x:c r="D708" s="54" t="n">
        <x:v>4</x:v>
      </x:c>
      <x:c r="E708" s="54" t="n">
        <x:v>70492</x:v>
      </x:c>
      <x:c r="F708" s="54" t="n">
        <x:v>65852</x:v>
      </x:c>
      <x:c r="G708" s="54" t="n">
        <x:v>27168</x:v>
      </x:c>
      <x:c r="H708" s="54" t="n">
        <x:v>15494</x:v>
      </x:c>
      <x:c r="I708" s="54" t="n">
        <x:v>7747</x:v>
      </x:c>
      <x:c r="J708" s="54" t="n">
        <x:v>107</x:v>
      </x:c>
      <x:c r="K708" s="53" t="n">
        <x:v>9.603284</x:v>
      </x:c>
      <x:c r="L708" s="53" t="n">
        <x:v>33.9509</x:v>
      </x:c>
      <x:c r="M708" s="53" t="n">
        <x:v>-118.3441</x:v>
      </x:c>
      <x:c r="N708" s="54" t="n">
        <x:v>350</x:v>
      </x:c>
      <x:c r="O708" s="54" t="n">
        <x:v>1</x:v>
      </x:c>
    </x:row>
    <x:row r="709">
      <x:c r="A709" s="54" t="n">
        <x:v>705</x:v>
      </x:c>
      <x:c r="B709" s="54" t="n">
        <x:v>5</x:v>
      </x:c>
      <x:c r="C709" s="54" t="n">
        <x:v>10</x:v>
      </x:c>
      <x:c r="D709" s="54" t="n">
        <x:v>0</x:v>
      </x:c>
      <x:c r="E709" s="54" t="n">
        <x:v>69045</x:v>
      </x:c>
      <x:c r="F709" s="54" t="n">
        <x:v>59098</x:v>
      </x:c>
      <x:c r="G709" s="54" t="n">
        <x:v>7212</x:v>
      </x:c>
      <x:c r="H709" s="54" t="n">
        <x:v>6947</x:v>
      </x:c>
      <x:c r="I709" s="54" t="n">
        <x:v>3126</x:v>
      </x:c>
      <x:c r="J709" s="54" t="n">
        <x:v>116</x:v>
      </x:c>
      <x:c r="K709" s="53" t="n">
        <x:v>8.632123</x:v>
      </x:c>
      <x:c r="L709" s="53" t="n">
        <x:v>39.0491</x:v>
      </x:c>
      <x:c r="M709" s="53" t="n">
        <x:v>-94.4871</x:v>
      </x:c>
      <x:c r="N709" s="54" t="n">
        <x:v>400</x:v>
      </x:c>
      <x:c r="O709" s="54" t="n">
        <x:v>0</x:v>
      </x:c>
    </x:row>
    <x:row r="710">
      <x:c r="A710" s="54" t="n">
        <x:v>706</x:v>
      </x:c>
      <x:c r="B710" s="54" t="n">
        <x:v>1</x:v>
      </x:c>
      <x:c r="C710" s="54" t="n">
        <x:v>1</x:v>
      </x:c>
      <x:c r="D710" s="54" t="n">
        <x:v>2</x:v>
      </x:c>
      <x:c r="E710" s="54" t="n">
        <x:v>68239</x:v>
      </x:c>
      <x:c r="F710" s="54" t="n">
        <x:v>59702</x:v>
      </x:c>
      <x:c r="G710" s="54" t="n">
        <x:v>28045</x:v>
      </x:c>
      <x:c r="H710" s="54" t="n">
        <x:v>20445</x:v>
      </x:c>
      <x:c r="I710" s="54" t="n">
        <x:v>11858</x:v>
      </x:c>
      <x:c r="J710" s="54" t="n">
        <x:v>74</x:v>
      </x:c>
      <x:c r="K710" s="53" t="n">
        <x:v>9.391018</x:v>
      </x:c>
      <x:c r="L710" s="53" t="n">
        <x:v>33.7565</x:v>
      </x:c>
      <x:c r="M710" s="53" t="n">
        <x:v>-84.4038</x:v>
      </x:c>
      <x:c r="N710" s="54" t="n">
        <x:v>250</x:v>
      </x:c>
      <x:c r="O710" s="54" t="n">
        <x:v>0</x:v>
      </x:c>
    </x:row>
    <x:row r="711">
      <x:c r="A711" s="54" t="n">
        <x:v>707</x:v>
      </x:c>
      <x:c r="B711" s="54" t="n">
        <x:v>6</x:v>
      </x:c>
      <x:c r="C711" s="54" t="n">
        <x:v>11</x:v>
      </x:c>
      <x:c r="D711" s="54" t="n">
        <x:v>2</x:v>
      </x:c>
      <x:c r="E711" s="54" t="n">
        <x:v>70492</x:v>
      </x:c>
      <x:c r="F711" s="54" t="n">
        <x:v>56357</x:v>
      </x:c>
      <x:c r="G711" s="54" t="n">
        <x:v>15166</x:v>
      </x:c>
      <x:c r="H711" s="54" t="n">
        <x:v>15439</x:v>
      </x:c>
      <x:c r="I711" s="54" t="n">
        <x:v>7720</x:v>
      </x:c>
      <x:c r="J711" s="54" t="n">
        <x:v>111</x:v>
      </x:c>
      <x:c r="K711" s="53" t="n">
        <x:v>9.603284</x:v>
      </x:c>
      <x:c r="L711" s="53" t="n">
        <x:v>33.9509</x:v>
      </x:c>
      <x:c r="M711" s="53" t="n">
        <x:v>-118.3441</x:v>
      </x:c>
      <x:c r="N711" s="54" t="n">
        <x:v>350</x:v>
      </x:c>
      <x:c r="O711" s="54" t="n">
        <x:v>0</x:v>
      </x:c>
    </x:row>
    <x:row r="712">
      <x:c r="A712" s="54" t="n">
        <x:v>708</x:v>
      </x:c>
      <x:c r="B712" s="54" t="n">
        <x:v>5</x:v>
      </x:c>
      <x:c r="C712" s="54" t="n">
        <x:v>10</x:v>
      </x:c>
      <x:c r="D712" s="54" t="n">
        <x:v>0</x:v>
      </x:c>
      <x:c r="E712" s="54" t="n">
        <x:v>69045</x:v>
      </x:c>
      <x:c r="F712" s="54" t="n">
        <x:v>55478</x:v>
      </x:c>
      <x:c r="G712" s="54" t="n">
        <x:v>5982</x:v>
      </x:c>
      <x:c r="H712" s="54" t="n">
        <x:v>7117</x:v>
      </x:c>
      <x:c r="I712" s="54" t="n">
        <x:v>3203</x:v>
      </x:c>
      <x:c r="J712" s="54" t="n">
        <x:v>117</x:v>
      </x:c>
      <x:c r="K712" s="53" t="n">
        <x:v>8.632123</x:v>
      </x:c>
      <x:c r="L712" s="53" t="n">
        <x:v>39.0491</x:v>
      </x:c>
      <x:c r="M712" s="53" t="n">
        <x:v>-94.4871</x:v>
      </x:c>
      <x:c r="N712" s="54" t="n">
        <x:v>400</x:v>
      </x:c>
      <x:c r="O712" s="54" t="n">
        <x:v>0</x:v>
      </x:c>
    </x:row>
    <x:row r="713">
      <x:c r="A713" s="54" t="n">
        <x:v>709</x:v>
      </x:c>
      <x:c r="B713" s="54" t="n">
        <x:v>3</x:v>
      </x:c>
      <x:c r="C713" s="54" t="n">
        <x:v>6</x:v>
      </x:c>
      <x:c r="D713" s="54" t="n">
        <x:v>0</x:v>
      </x:c>
      <x:c r="E713" s="54" t="n">
        <x:v>70649</x:v>
      </x:c>
      <x:c r="F713" s="54" t="n">
        <x:v>65553</x:v>
      </x:c>
      <x:c r="G713" s="54" t="n">
        <x:v>9594</x:v>
      </x:c>
      <x:c r="H713" s="54" t="n">
        <x:v>5829</x:v>
      </x:c>
      <x:c r="I713" s="54" t="n">
        <x:v>2623</x:v>
      </x:c>
      <x:c r="J713" s="54" t="n">
        <x:v>126</x:v>
      </x:c>
      <x:c r="K713" s="53" t="n">
        <x:v>10.033037</x:v>
      </x:c>
      <x:c r="L713" s="53" t="n">
        <x:v>32.7506</x:v>
      </x:c>
      <x:c r="M713" s="53" t="n">
        <x:v>-97.0915</x:v>
      </x:c>
      <x:c r="N713" s="54" t="n">
        <x:v>350</x:v>
      </x:c>
      <x:c r="O713" s="54" t="n">
        <x:v>0</x:v>
      </x:c>
    </x:row>
    <x:row r="714">
      <x:c r="A714" s="54" t="n">
        <x:v>710</x:v>
      </x:c>
      <x:c r="B714" s="54" t="n">
        <x:v>8</x:v>
      </x:c>
      <x:c r="C714" s="54" t="n">
        <x:v>15</x:v>
      </x:c>
      <x:c r="D714" s="54" t="n">
        <x:v>2</x:v>
      </x:c>
      <x:c r="E714" s="54" t="n">
        <x:v>80663</x:v>
      </x:c>
      <x:c r="F714" s="54" t="n">
        <x:v>73123</x:v>
      </x:c>
      <x:c r="G714" s="54" t="n">
        <x:v>25264</x:v>
      </x:c>
      <x:c r="H714" s="54" t="n">
        <x:v>38846</x:v>
      </x:c>
      <x:c r="I714" s="54" t="n">
        <x:v>21365</x:v>
      </x:c>
      <x:c r="J714" s="54" t="n">
        <x:v>71</x:v>
      </x:c>
      <x:c r="K714" s="53" t="n">
        <x:v>10.438681</x:v>
      </x:c>
      <x:c r="L714" s="53" t="n">
        <x:v>40.807664</x:v>
      </x:c>
      <x:c r="M714" s="53" t="n">
        <x:v>-74.069833</x:v>
      </x:c>
      <x:c r="N714" s="54" t="n">
        <x:v>250</x:v>
      </x:c>
      <x:c r="O714" s="54" t="n">
        <x:v>1</x:v>
      </x:c>
    </x:row>
    <x:row r="715">
      <x:c r="A715" s="54" t="n">
        <x:v>711</x:v>
      </x:c>
      <x:c r="B715" s="54" t="n">
        <x:v>9</x:v>
      </x:c>
      <x:c r="C715" s="54" t="n">
        <x:v>17</x:v>
      </x:c>
      <x:c r="D715" s="54" t="n">
        <x:v>3</x:v>
      </x:c>
      <x:c r="E715" s="54" t="n">
        <x:v>68324</x:v>
      </x:c>
      <x:c r="F715" s="54" t="n">
        <x:v>66723</x:v>
      </x:c>
      <x:c r="G715" s="54" t="n">
        <x:v>31850</x:v>
      </x:c>
      <x:c r="H715" s="54" t="n">
        <x:v>36972</x:v>
      </x:c>
      <x:c r="I715" s="54" t="n">
        <x:v>22183</x:v>
      </x:c>
      <x:c r="J715" s="54" t="n">
        <x:v>102</x:v>
      </x:c>
      <x:c r="K715" s="53" t="n">
        <x:v>8.474327</x:v>
      </x:c>
      <x:c r="L715" s="53" t="n">
        <x:v>39.9047</x:v>
      </x:c>
      <x:c r="M715" s="53" t="n">
        <x:v>-75.1736</x:v>
      </x:c>
      <x:c r="N715" s="54" t="n">
        <x:v>250</x:v>
      </x:c>
      <x:c r="O715" s="54" t="n">
        <x:v>1</x:v>
      </x:c>
    </x:row>
    <x:row r="716">
      <x:c r="A716" s="54" t="n">
        <x:v>712</x:v>
      </x:c>
      <x:c r="B716" s="54" t="n">
        <x:v>8</x:v>
      </x:c>
      <x:c r="C716" s="54" t="n">
        <x:v>15</x:v>
      </x:c>
      <x:c r="D716" s="54" t="n">
        <x:v>0</x:v>
      </x:c>
      <x:c r="E716" s="54" t="n">
        <x:v>80663</x:v>
      </x:c>
      <x:c r="F716" s="54" t="n">
        <x:v>56752</x:v>
      </x:c>
      <x:c r="G716" s="54" t="n">
        <x:v>19718</x:v>
      </x:c>
      <x:c r="H716" s="54" t="n">
        <x:v>32879</x:v>
      </x:c>
      <x:c r="I716" s="54" t="n">
        <x:v>18083</x:v>
      </x:c>
      <x:c r="J716" s="54" t="n">
        <x:v>73</x:v>
      </x:c>
      <x:c r="K716" s="53" t="n">
        <x:v>10.438681</x:v>
      </x:c>
      <x:c r="L716" s="53" t="n">
        <x:v>40.807664</x:v>
      </x:c>
      <x:c r="M716" s="53" t="n">
        <x:v>-74.069833</x:v>
      </x:c>
      <x:c r="N716" s="54" t="n">
        <x:v>250</x:v>
      </x:c>
      <x:c r="O716" s="54" t="n">
        <x:v>0</x:v>
      </x:c>
    </x:row>
    <x:row r="717">
      <x:c r="A717" s="54" t="n">
        <x:v>713</x:v>
      </x:c>
      <x:c r="B717" s="54" t="n">
        <x:v>4</x:v>
      </x:c>
      <x:c r="C717" s="54" t="n">
        <x:v>7</x:v>
      </x:c>
      <x:c r="D717" s="54" t="n">
        <x:v>1</x:v>
      </x:c>
      <x:c r="E717" s="54" t="n">
        <x:v>68777</x:v>
      </x:c>
      <x:c r="F717" s="54" t="n">
        <x:v>68639</x:v>
      </x:c>
      <x:c r="G717" s="54" t="n">
        <x:v>19824</x:v>
      </x:c>
      <x:c r="H717" s="54" t="n">
        <x:v>17337</x:v>
      </x:c>
      <x:c r="I717" s="54" t="n">
        <x:v>10402</x:v>
      </x:c>
      <x:c r="J717" s="54" t="n">
        <x:v>93</x:v>
      </x:c>
      <x:c r="K717" s="53" t="n">
        <x:v>9.092387</x:v>
      </x:c>
      <x:c r="L717" s="53" t="n">
        <x:v>29.6852</x:v>
      </x:c>
      <x:c r="M717" s="53" t="n">
        <x:v>-95.407</x:v>
      </x:c>
      <x:c r="N717" s="54" t="n">
        <x:v>250</x:v>
      </x:c>
      <x:c r="O717" s="54" t="n">
        <x:v>1</x:v>
      </x:c>
    </x:row>
    <x:row r="718">
      <x:c r="A718" s="54" t="n">
        <x:v>714</x:v>
      </x:c>
      <x:c r="B718" s="54" t="n">
        <x:v>8</x:v>
      </x:c>
      <x:c r="C718" s="54" t="n">
        <x:v>15</x:v>
      </x:c>
      <x:c r="D718" s="54" t="n">
        <x:v>2</x:v>
      </x:c>
      <x:c r="E718" s="54" t="n">
        <x:v>80663</x:v>
      </x:c>
      <x:c r="F718" s="54" t="n">
        <x:v>71194</x:v>
      </x:c>
      <x:c r="G718" s="54" t="n">
        <x:v>24134</x:v>
      </x:c>
      <x:c r="H718" s="54" t="n">
        <x:v>40812</x:v>
      </x:c>
      <x:c r="I718" s="54" t="n">
        <x:v>22447</x:v>
      </x:c>
      <x:c r="J718" s="54" t="n">
        <x:v>85</x:v>
      </x:c>
      <x:c r="K718" s="53" t="n">
        <x:v>10.438681</x:v>
      </x:c>
      <x:c r="L718" s="53" t="n">
        <x:v>40.807664</x:v>
      </x:c>
      <x:c r="M718" s="53" t="n">
        <x:v>-74.069833</x:v>
      </x:c>
      <x:c r="N718" s="54" t="n">
        <x:v>250</x:v>
      </x:c>
      <x:c r="O718" s="54" t="n">
        <x:v>1</x:v>
      </x:c>
    </x:row>
    <x:row r="719">
      <x:c r="A719" s="54" t="n">
        <x:v>715</x:v>
      </x:c>
      <x:c r="B719" s="54" t="n">
        <x:v>2</x:v>
      </x:c>
      <x:c r="C719" s="54" t="n">
        <x:v>4</x:v>
      </x:c>
      <x:c r="D719" s="54" t="n">
        <x:v>3</x:v>
      </x:c>
      <x:c r="E719" s="54" t="n">
        <x:v>64146</x:v>
      </x:c>
      <x:c r="F719" s="54" t="n">
        <x:v>61059</x:v>
      </x:c>
      <x:c r="G719" s="54" t="n">
        <x:v>14846</x:v>
      </x:c>
      <x:c r="H719" s="54" t="n">
        <x:v>14677</x:v>
      </x:c>
      <x:c r="I719" s="54" t="n">
        <x:v>5137</x:v>
      </x:c>
      <x:c r="J719" s="54" t="n">
        <x:v>115</x:v>
      </x:c>
      <x:c r="K719" s="53" t="n">
        <x:v>8.671598</x:v>
      </x:c>
      <x:c r="L719" s="53" t="n">
        <x:v>42.0916</x:v>
      </x:c>
      <x:c r="M719" s="53" t="n">
        <x:v>-71.2648</x:v>
      </x:c>
      <x:c r="N719" s="54" t="n">
        <x:v>300</x:v>
      </x:c>
      <x:c r="O719" s="54" t="n">
        <x:v>1</x:v>
      </x:c>
    </x:row>
    <x:row r="720">
      <x:c r="A720" s="54" t="n">
        <x:v>716</x:v>
      </x:c>
      <x:c r="B720" s="54" t="n">
        <x:v>9</x:v>
      </x:c>
      <x:c r="C720" s="54" t="n">
        <x:v>17</x:v>
      </x:c>
      <x:c r="D720" s="54" t="n">
        <x:v>0</x:v>
      </x:c>
      <x:c r="E720" s="54" t="n">
        <x:v>68324</x:v>
      </x:c>
      <x:c r="F720" s="54" t="n">
        <x:v>52264</x:v>
      </x:c>
      <x:c r="G720" s="54" t="n">
        <x:v>27856</x:v>
      </x:c>
      <x:c r="H720" s="54" t="n">
        <x:v>25040</x:v>
      </x:c>
      <x:c r="I720" s="54" t="n">
        <x:v>15024</x:v>
      </x:c>
      <x:c r="J720" s="54" t="n">
        <x:v>79</x:v>
      </x:c>
      <x:c r="K720" s="53" t="n">
        <x:v>8.474327</x:v>
      </x:c>
      <x:c r="L720" s="53" t="n">
        <x:v>39.9047</x:v>
      </x:c>
      <x:c r="M720" s="53" t="n">
        <x:v>-75.1736</x:v>
      </x:c>
      <x:c r="N720" s="54" t="n">
        <x:v>250</x:v>
      </x:c>
      <x:c r="O720" s="54" t="n">
        <x:v>0</x:v>
      </x:c>
    </x:row>
    <x:row r="721">
      <x:c r="A721" s="54" t="n">
        <x:v>717</x:v>
      </x:c>
      <x:c r="B721" s="54" t="n">
        <x:v>2</x:v>
      </x:c>
      <x:c r="C721" s="54" t="n">
        <x:v>3</x:v>
      </x:c>
      <x:c r="D721" s="54" t="n">
        <x:v>0</x:v>
      </x:c>
      <x:c r="E721" s="54" t="n">
        <x:v>64146</x:v>
      </x:c>
      <x:c r="F721" s="54" t="n">
        <x:v>47277</x:v>
      </x:c>
      <x:c r="G721" s="54" t="n">
        <x:v>13970</x:v>
      </x:c>
      <x:c r="H721" s="54" t="n">
        <x:v>12798</x:v>
      </x:c>
      <x:c r="I721" s="54" t="n">
        <x:v>8319</x:v>
      </x:c>
      <x:c r="J721" s="54" t="n">
        <x:v>92</x:v>
      </x:c>
      <x:c r="K721" s="53" t="n">
        <x:v>8.671598</x:v>
      </x:c>
      <x:c r="L721" s="53" t="n">
        <x:v>42.0889</x:v>
      </x:c>
      <x:c r="M721" s="53" t="n">
        <x:v>-71.2597</x:v>
      </x:c>
      <x:c r="N721" s="54" t="n">
        <x:v>250</x:v>
      </x:c>
      <x:c r="O721" s="54" t="n">
        <x:v>0</x:v>
      </x:c>
    </x:row>
    <x:row r="722">
      <x:c r="A722" s="54" t="n">
        <x:v>718</x:v>
      </x:c>
      <x:c r="B722" s="54" t="n">
        <x:v>8</x:v>
      </x:c>
      <x:c r="C722" s="54" t="n">
        <x:v>15</x:v>
      </x:c>
      <x:c r="D722" s="54" t="n">
        <x:v>0</x:v>
      </x:c>
      <x:c r="E722" s="54" t="n">
        <x:v>80663</x:v>
      </x:c>
      <x:c r="F722" s="54" t="n">
        <x:v>73350</x:v>
      </x:c>
      <x:c r="G722" s="54" t="n">
        <x:v>22318</x:v>
      </x:c>
      <x:c r="H722" s="54" t="n">
        <x:v>40938</x:v>
      </x:c>
      <x:c r="I722" s="54" t="n">
        <x:v>22516</x:v>
      </x:c>
      <x:c r="J722" s="54" t="n">
        <x:v>76</x:v>
      </x:c>
      <x:c r="K722" s="53" t="n">
        <x:v>10.438681</x:v>
      </x:c>
      <x:c r="L722" s="53" t="n">
        <x:v>40.807664</x:v>
      </x:c>
      <x:c r="M722" s="53" t="n">
        <x:v>-74.069833</x:v>
      </x:c>
      <x:c r="N722" s="54" t="n">
        <x:v>250</x:v>
      </x:c>
      <x:c r="O722" s="54" t="n">
        <x:v>1</x:v>
      </x:c>
    </x:row>
    <x:row r="723">
      <x:c r="A723" s="54" t="n">
        <x:v>719</x:v>
      </x:c>
      <x:c r="B723" s="54" t="n">
        <x:v>6</x:v>
      </x:c>
      <x:c r="C723" s="54" t="n">
        <x:v>11</x:v>
      </x:c>
      <x:c r="D723" s="54" t="n">
        <x:v>1</x:v>
      </x:c>
      <x:c r="E723" s="54" t="n">
        <x:v>70492</x:v>
      </x:c>
      <x:c r="F723" s="54" t="n">
        <x:v>60044</x:v>
      </x:c>
      <x:c r="G723" s="54" t="n">
        <x:v>24614</x:v>
      </x:c>
      <x:c r="H723" s="54" t="n">
        <x:v>15462</x:v>
      </x:c>
      <x:c r="I723" s="54" t="n">
        <x:v>7731</x:v>
      </x:c>
      <x:c r="J723" s="54" t="n">
        <x:v>109</x:v>
      </x:c>
      <x:c r="K723" s="53" t="n">
        <x:v>9.603284</x:v>
      </x:c>
      <x:c r="L723" s="53" t="n">
        <x:v>33.9509</x:v>
      </x:c>
      <x:c r="M723" s="53" t="n">
        <x:v>-118.3441</x:v>
      </x:c>
      <x:c r="N723" s="54" t="n">
        <x:v>350</x:v>
      </x:c>
      <x:c r="O723" s="54" t="n">
        <x:v>0</x:v>
      </x:c>
    </x:row>
    <x:row r="724">
      <x:c r="A724" s="54" t="n">
        <x:v>720</x:v>
      </x:c>
      <x:c r="B724" s="54" t="n">
        <x:v>8</x:v>
      </x:c>
      <x:c r="C724" s="54" t="n">
        <x:v>15</x:v>
      </x:c>
      <x:c r="D724" s="54" t="n">
        <x:v>3</x:v>
      </x:c>
      <x:c r="E724" s="54" t="n">
        <x:v>80663</x:v>
      </x:c>
      <x:c r="F724" s="54" t="n">
        <x:v>68283</x:v>
      </x:c>
      <x:c r="G724" s="54" t="n">
        <x:v>25804</x:v>
      </x:c>
      <x:c r="H724" s="54" t="n">
        <x:v>47394</x:v>
      </x:c>
      <x:c r="I724" s="54" t="n">
        <x:v>26067</x:v>
      </x:c>
      <x:c r="J724" s="54" t="n">
        <x:v>81</x:v>
      </x:c>
      <x:c r="K724" s="53" t="n">
        <x:v>10.438681</x:v>
      </x:c>
      <x:c r="L724" s="53" t="n">
        <x:v>40.807664</x:v>
      </x:c>
      <x:c r="M724" s="53" t="n">
        <x:v>-74.069833</x:v>
      </x:c>
      <x:c r="N724" s="54" t="n">
        <x:v>250</x:v>
      </x:c>
      <x:c r="O724" s="54" t="n">
        <x:v>1</x:v>
      </x:c>
    </x:row>
    <x:row r="725">
      <x:c r="A725" s="54" t="n">
        <x:v>721</x:v>
      </x:c>
      <x:c r="B725" s="54" t="n">
        <x:v>2</x:v>
      </x:c>
      <x:c r="C725" s="54" t="n">
        <x:v>3</x:v>
      </x:c>
      <x:c r="D725" s="54" t="n">
        <x:v>2</x:v>
      </x:c>
      <x:c r="E725" s="54" t="n">
        <x:v>64146</x:v>
      </x:c>
      <x:c r="F725" s="54" t="n">
        <x:v>64018</x:v>
      </x:c>
      <x:c r="G725" s="54" t="n">
        <x:v>20695</x:v>
      </x:c>
      <x:c r="H725" s="54" t="n">
        <x:v>20441</x:v>
      </x:c>
      <x:c r="I725" s="54" t="n">
        <x:v>13287</x:v>
      </x:c>
      <x:c r="J725" s="54" t="n">
        <x:v>110</x:v>
      </x:c>
      <x:c r="K725" s="53" t="n">
        <x:v>8.671598</x:v>
      </x:c>
      <x:c r="L725" s="53" t="n">
        <x:v>42.0889</x:v>
      </x:c>
      <x:c r="M725" s="53" t="n">
        <x:v>-71.2597</x:v>
      </x:c>
      <x:c r="N725" s="54" t="n">
        <x:v>250</x:v>
      </x:c>
      <x:c r="O725" s="54" t="n">
        <x:v>1</x:v>
      </x:c>
    </x:row>
    <x:row r="726">
      <x:c r="A726" s="54" t="n">
        <x:v>722</x:v>
      </x:c>
      <x:c r="B726" s="54" t="n">
        <x:v>10</x:v>
      </x:c>
      <x:c r="C726" s="54" t="n">
        <x:v>19</x:v>
      </x:c>
      <x:c r="D726" s="54" t="n">
        <x:v>0</x:v>
      </x:c>
      <x:c r="E726" s="54" t="n">
        <x:v>68827</x:v>
      </x:c>
      <x:c r="F726" s="54" t="n">
        <x:v>57538</x:v>
      </x:c>
      <x:c r="G726" s="54" t="n">
        <x:v>35500</x:v>
      </x:c>
      <x:c r="H726" s="54" t="n">
        <x:v>23212</x:v>
      </x:c>
      <x:c r="I726" s="54" t="n">
        <x:v>15088</x:v>
      </x:c>
      <x:c r="J726" s="54" t="n">
        <x:v>68</x:v>
      </x:c>
      <x:c r="K726" s="53" t="n">
        <x:v>8.807888</x:v>
      </x:c>
      <x:c r="L726" s="53" t="n">
        <x:v>37.403468</x:v>
      </x:c>
      <x:c r="M726" s="53" t="n">
        <x:v>-121.974908</x:v>
      </x:c>
      <x:c r="N726" s="54" t="n">
        <x:v>250</x:v>
      </x:c>
      <x:c r="O726" s="54" t="n">
        <x:v>0</x:v>
      </x:c>
    </x:row>
    <x:row r="727">
      <x:c r="A727" s="54" t="n">
        <x:v>723</x:v>
      </x:c>
      <x:c r="B727" s="54" t="n">
        <x:v>7</x:v>
      </x:c>
      <x:c r="C727" s="54" t="n">
        <x:v>13</x:v>
      </x:c>
      <x:c r="D727" s="54" t="n">
        <x:v>0</x:v>
      </x:c>
      <x:c r="E727" s="54" t="n">
        <x:v>64478</x:v>
      </x:c>
      <x:c r="F727" s="54" t="n">
        <x:v>53357</x:v>
      </x:c>
      <x:c r="G727" s="54" t="n">
        <x:v>16656</x:v>
      </x:c>
      <x:c r="H727" s="54" t="n">
        <x:v>11646</x:v>
      </x:c>
      <x:c r="I727" s="54" t="n">
        <x:v>6405</x:v>
      </x:c>
      <x:c r="J727" s="54" t="n">
        <x:v>127</x:v>
      </x:c>
      <x:c r="K727" s="53" t="n">
        <x:v>8.69743</x:v>
      </x:c>
      <x:c r="L727" s="53" t="n">
        <x:v>25.957</x:v>
      </x:c>
      <x:c r="M727" s="53" t="n">
        <x:v>-80.2425</x:v>
      </x:c>
      <x:c r="N727" s="54" t="n">
        <x:v>400</x:v>
      </x:c>
      <x:c r="O727" s="54" t="n">
        <x:v>0</x:v>
      </x:c>
    </x:row>
    <x:row r="728">
      <x:c r="A728" s="54" t="n">
        <x:v>724</x:v>
      </x:c>
      <x:c r="B728" s="54" t="n">
        <x:v>2</x:v>
      </x:c>
      <x:c r="C728" s="54" t="n">
        <x:v>4</x:v>
      </x:c>
      <x:c r="D728" s="54" t="n">
        <x:v>0</x:v>
      </x:c>
      <x:c r="E728" s="54" t="n">
        <x:v>64146</x:v>
      </x:c>
      <x:c r="F728" s="54" t="n">
        <x:v>60210</x:v>
      </x:c>
      <x:c r="G728" s="54" t="n">
        <x:v>12683</x:v>
      </x:c>
      <x:c r="H728" s="54" t="n">
        <x:v>11738</x:v>
      </x:c>
      <x:c r="I728" s="54" t="n">
        <x:v>4108</x:v>
      </x:c>
      <x:c r="J728" s="54" t="n">
        <x:v>119</x:v>
      </x:c>
      <x:c r="K728" s="53" t="n">
        <x:v>8.671598</x:v>
      </x:c>
      <x:c r="L728" s="53" t="n">
        <x:v>42.0916</x:v>
      </x:c>
      <x:c r="M728" s="53" t="n">
        <x:v>-71.2648</x:v>
      </x:c>
      <x:c r="N728" s="54" t="n">
        <x:v>300</x:v>
      </x:c>
      <x:c r="O728" s="54" t="n">
        <x:v>1</x:v>
      </x:c>
    </x:row>
    <x:row r="729">
      <x:c r="A729" s="54" t="n">
        <x:v>725</x:v>
      </x:c>
      <x:c r="B729" s="54" t="n">
        <x:v>3</x:v>
      </x:c>
      <x:c r="C729" s="54" t="n">
        <x:v>6</x:v>
      </x:c>
      <x:c r="D729" s="54" t="n">
        <x:v>1</x:v>
      </x:c>
      <x:c r="E729" s="54" t="n">
        <x:v>70649</x:v>
      </x:c>
      <x:c r="F729" s="54" t="n">
        <x:v>60947</x:v>
      </x:c>
      <x:c r="G729" s="54" t="n">
        <x:v>3923</x:v>
      </x:c>
      <x:c r="H729" s="54" t="n">
        <x:v>10237</x:v>
      </x:c>
      <x:c r="I729" s="54" t="n">
        <x:v>4607</x:v>
      </x:c>
      <x:c r="J729" s="54" t="n">
        <x:v>117</x:v>
      </x:c>
      <x:c r="K729" s="53" t="n">
        <x:v>10.033037</x:v>
      </x:c>
      <x:c r="L729" s="53" t="n">
        <x:v>32.7506</x:v>
      </x:c>
      <x:c r="M729" s="53" t="n">
        <x:v>-97.0915</x:v>
      </x:c>
      <x:c r="N729" s="54" t="n">
        <x:v>350</x:v>
      </x:c>
      <x:c r="O729" s="54" t="n">
        <x:v>0</x:v>
      </x:c>
    </x:row>
    <x:row r="730">
      <x:c r="A730" s="54" t="n">
        <x:v>726</x:v>
      </x:c>
      <x:c r="B730" s="54" t="n">
        <x:v>4</x:v>
      </x:c>
      <x:c r="C730" s="54" t="n">
        <x:v>7</x:v>
      </x:c>
      <x:c r="D730" s="54" t="n">
        <x:v>0</x:v>
      </x:c>
      <x:c r="E730" s="54" t="n">
        <x:v>68777</x:v>
      </x:c>
      <x:c r="F730" s="54" t="n">
        <x:v>53439</x:v>
      </x:c>
      <x:c r="G730" s="54" t="n">
        <x:v>16173</x:v>
      </x:c>
      <x:c r="H730" s="54" t="n">
        <x:v>16583</x:v>
      </x:c>
      <x:c r="I730" s="54" t="n">
        <x:v>9950</x:v>
      </x:c>
      <x:c r="J730" s="54" t="n">
        <x:v>84</x:v>
      </x:c>
      <x:c r="K730" s="53" t="n">
        <x:v>9.092387</x:v>
      </x:c>
      <x:c r="L730" s="53" t="n">
        <x:v>29.6852</x:v>
      </x:c>
      <x:c r="M730" s="53" t="n">
        <x:v>-95.407</x:v>
      </x:c>
      <x:c r="N730" s="54" t="n">
        <x:v>250</x:v>
      </x:c>
      <x:c r="O730" s="54" t="n">
        <x:v>0</x:v>
      </x:c>
    </x:row>
    <x:row r="731">
      <x:c r="A731" s="54" t="n">
        <x:v>727</x:v>
      </x:c>
      <x:c r="B731" s="54" t="n">
        <x:v>4</x:v>
      </x:c>
      <x:c r="C731" s="54" t="n">
        <x:v>7</x:v>
      </x:c>
      <x:c r="D731" s="54" t="n">
        <x:v>0</x:v>
      </x:c>
      <x:c r="E731" s="54" t="n">
        <x:v>68777</x:v>
      </x:c>
      <x:c r="F731" s="54" t="n">
        <x:v>56410</x:v>
      </x:c>
      <x:c r="G731" s="54" t="n">
        <x:v>21506</x:v>
      </x:c>
      <x:c r="H731" s="54" t="n">
        <x:v>16521</x:v>
      </x:c>
      <x:c r="I731" s="54" t="n">
        <x:v>9913</x:v>
      </x:c>
      <x:c r="J731" s="54" t="n">
        <x:v>79</x:v>
      </x:c>
      <x:c r="K731" s="53" t="n">
        <x:v>9.092387</x:v>
      </x:c>
      <x:c r="L731" s="53" t="n">
        <x:v>29.6852</x:v>
      </x:c>
      <x:c r="M731" s="53" t="n">
        <x:v>-95.407</x:v>
      </x:c>
      <x:c r="N731" s="54" t="n">
        <x:v>250</x:v>
      </x:c>
      <x:c r="O731" s="54" t="n">
        <x:v>0</x:v>
      </x:c>
    </x:row>
    <x:row r="732">
      <x:c r="A732" s="54" t="n">
        <x:v>728</x:v>
      </x:c>
      <x:c r="B732" s="54" t="n">
        <x:v>1</x:v>
      </x:c>
      <x:c r="C732" s="54" t="n">
        <x:v>1</x:v>
      </x:c>
      <x:c r="D732" s="54" t="n">
        <x:v>0</x:v>
      </x:c>
      <x:c r="E732" s="54" t="n">
        <x:v>68239</x:v>
      </x:c>
      <x:c r="F732" s="54" t="n">
        <x:v>62798</x:v>
      </x:c>
      <x:c r="G732" s="54" t="n">
        <x:v>25932</x:v>
      </x:c>
      <x:c r="H732" s="54" t="n">
        <x:v>28967</x:v>
      </x:c>
      <x:c r="I732" s="54" t="n">
        <x:v>16801</x:v>
      </x:c>
      <x:c r="J732" s="54" t="n">
        <x:v>60</x:v>
      </x:c>
      <x:c r="K732" s="53" t="n">
        <x:v>9.391018</x:v>
      </x:c>
      <x:c r="L732" s="53" t="n">
        <x:v>33.7565</x:v>
      </x:c>
      <x:c r="M732" s="53" t="n">
        <x:v>-84.4038</x:v>
      </x:c>
      <x:c r="N732" s="54" t="n">
        <x:v>250</x:v>
      </x:c>
      <x:c r="O732" s="54" t="n">
        <x:v>0</x:v>
      </x:c>
    </x:row>
    <x:row r="733">
      <x:c r="A733" s="54" t="n">
        <x:v>729</x:v>
      </x:c>
      <x:c r="B733" s="54" t="n">
        <x:v>2</x:v>
      </x:c>
      <x:c r="C733" s="54" t="n">
        <x:v>3</x:v>
      </x:c>
      <x:c r="D733" s="54" t="n">
        <x:v>0</x:v>
      </x:c>
      <x:c r="E733" s="54" t="n">
        <x:v>64146</x:v>
      </x:c>
      <x:c r="F733" s="54" t="n">
        <x:v>49218</x:v>
      </x:c>
      <x:c r="G733" s="54" t="n">
        <x:v>12449</x:v>
      </x:c>
      <x:c r="H733" s="54" t="n">
        <x:v>6864</x:v>
      </x:c>
      <x:c r="I733" s="54" t="n">
        <x:v>4462</x:v>
      </x:c>
      <x:c r="J733" s="54" t="n">
        <x:v>103</x:v>
      </x:c>
      <x:c r="K733" s="53" t="n">
        <x:v>8.671598</x:v>
      </x:c>
      <x:c r="L733" s="53" t="n">
        <x:v>42.0889</x:v>
      </x:c>
      <x:c r="M733" s="53" t="n">
        <x:v>-71.2597</x:v>
      </x:c>
      <x:c r="N733" s="54" t="n">
        <x:v>250</x:v>
      </x:c>
      <x:c r="O733" s="54" t="n">
        <x:v>0</x:v>
      </x:c>
    </x:row>
    <x:row r="734">
      <x:c r="A734" s="54" t="n">
        <x:v>730</x:v>
      </x:c>
      <x:c r="B734" s="54" t="n">
        <x:v>5</x:v>
      </x:c>
      <x:c r="C734" s="54" t="n">
        <x:v>10</x:v>
      </x:c>
      <x:c r="D734" s="54" t="n">
        <x:v>0</x:v>
      </x:c>
      <x:c r="E734" s="54" t="n">
        <x:v>69045</x:v>
      </x:c>
      <x:c r="F734" s="54" t="n">
        <x:v>60178</x:v>
      </x:c>
      <x:c r="G734" s="54" t="n">
        <x:v>4302</x:v>
      </x:c>
      <x:c r="H734" s="54" t="n">
        <x:v>11743</x:v>
      </x:c>
      <x:c r="I734" s="54" t="n">
        <x:v>5284</x:v>
      </x:c>
      <x:c r="J734" s="54" t="n">
        <x:v>131</x:v>
      </x:c>
      <x:c r="K734" s="53" t="n">
        <x:v>8.632123</x:v>
      </x:c>
      <x:c r="L734" s="53" t="n">
        <x:v>39.0491</x:v>
      </x:c>
      <x:c r="M734" s="53" t="n">
        <x:v>-94.4871</x:v>
      </x:c>
      <x:c r="N734" s="54" t="n">
        <x:v>400</x:v>
      </x:c>
      <x:c r="O734" s="54" t="n">
        <x:v>0</x:v>
      </x:c>
    </x:row>
    <x:row r="735">
      <x:c r="A735" s="54" t="n">
        <x:v>731</x:v>
      </x:c>
      <x:c r="B735" s="54" t="n">
        <x:v>9</x:v>
      </x:c>
      <x:c r="C735" s="54" t="n">
        <x:v>17</x:v>
      </x:c>
      <x:c r="D735" s="54" t="n">
        <x:v>0</x:v>
      </x:c>
      <x:c r="E735" s="54" t="n">
        <x:v>68324</x:v>
      </x:c>
      <x:c r="F735" s="54" t="n">
        <x:v>56276</x:v>
      </x:c>
      <x:c r="G735" s="54" t="n">
        <x:v>27131</x:v>
      </x:c>
      <x:c r="H735" s="54" t="n">
        <x:v>23133</x:v>
      </x:c>
      <x:c r="I735" s="54" t="n">
        <x:v>13880</x:v>
      </x:c>
      <x:c r="J735" s="54" t="n">
        <x:v>76</x:v>
      </x:c>
      <x:c r="K735" s="53" t="n">
        <x:v>8.474327</x:v>
      </x:c>
      <x:c r="L735" s="53" t="n">
        <x:v>39.9047</x:v>
      </x:c>
      <x:c r="M735" s="53" t="n">
        <x:v>-75.1736</x:v>
      </x:c>
      <x:c r="N735" s="54" t="n">
        <x:v>250</x:v>
      </x:c>
      <x:c r="O735" s="54" t="n">
        <x:v>0</x:v>
      </x:c>
    </x:row>
    <x:row r="736">
      <x:c r="A736" s="54" t="n">
        <x:v>732</x:v>
      </x:c>
      <x:c r="B736" s="54" t="n">
        <x:v>10</x:v>
      </x:c>
      <x:c r="C736" s="54" t="n">
        <x:v>19</x:v>
      </x:c>
      <x:c r="D736" s="54" t="n">
        <x:v>1</x:v>
      </x:c>
      <x:c r="E736" s="54" t="n">
        <x:v>68827</x:v>
      </x:c>
      <x:c r="F736" s="54" t="n">
        <x:v>60027</x:v>
      </x:c>
      <x:c r="G736" s="54" t="n">
        <x:v>34789</x:v>
      </x:c>
      <x:c r="H736" s="54" t="n">
        <x:v>23126</x:v>
      </x:c>
      <x:c r="I736" s="54" t="n">
        <x:v>15032</x:v>
      </x:c>
      <x:c r="J736" s="54" t="n">
        <x:v>105</x:v>
      </x:c>
      <x:c r="K736" s="53" t="n">
        <x:v>8.807888</x:v>
      </x:c>
      <x:c r="L736" s="53" t="n">
        <x:v>37.403468</x:v>
      </x:c>
      <x:c r="M736" s="53" t="n">
        <x:v>-121.974908</x:v>
      </x:c>
      <x:c r="N736" s="54" t="n">
        <x:v>250</x:v>
      </x:c>
      <x:c r="O736" s="54" t="n">
        <x:v>1</x:v>
      </x:c>
    </x:row>
    <x:row r="737">
      <x:c r="A737" s="54" t="n">
        <x:v>733</x:v>
      </x:c>
      <x:c r="B737" s="54" t="n">
        <x:v>11</x:v>
      </x:c>
      <x:c r="C737" s="54" t="n">
        <x:v>21</x:v>
      </x:c>
      <x:c r="D737" s="54" t="n">
        <x:v>1</x:v>
      </x:c>
      <x:c r="E737" s="54" t="n">
        <x:v>66925</x:v>
      </x:c>
      <x:c r="F737" s="54" t="n">
        <x:v>46928</x:v>
      </x:c>
      <x:c r="G737" s="54" t="n">
        <x:v>22825</x:v>
      </x:c>
      <x:c r="H737" s="54" t="n">
        <x:v>24809</x:v>
      </x:c>
      <x:c r="I737" s="54" t="n">
        <x:v>13645</x:v>
      </x:c>
      <x:c r="J737" s="54" t="n">
        <x:v>67</x:v>
      </x:c>
      <x:c r="K737" s="53" t="n">
        <x:v>8.408439</x:v>
      </x:c>
      <x:c r="L737" s="53" t="n">
        <x:v>47.5917</x:v>
      </x:c>
      <x:c r="M737" s="53" t="n">
        <x:v>-122.3272</x:v>
      </x:c>
      <x:c r="N737" s="54" t="n">
        <x:v>250</x:v>
      </x:c>
      <x:c r="O737" s="54" t="n">
        <x:v>0</x:v>
      </x:c>
    </x:row>
    <x:row r="738">
      <x:c r="A738" s="54" t="n">
        <x:v>734</x:v>
      </x:c>
      <x:c r="B738" s="54" t="n">
        <x:v>10</x:v>
      </x:c>
      <x:c r="C738" s="54" t="n">
        <x:v>19</x:v>
      </x:c>
      <x:c r="D738" s="54" t="n">
        <x:v>0</x:v>
      </x:c>
      <x:c r="E738" s="54" t="n">
        <x:v>68827</x:v>
      </x:c>
      <x:c r="F738" s="54" t="n">
        <x:v>54352</x:v>
      </x:c>
      <x:c r="G738" s="54" t="n">
        <x:v>25317</x:v>
      </x:c>
      <x:c r="H738" s="54" t="n">
        <x:v>17934</x:v>
      </x:c>
      <x:c r="I738" s="54" t="n">
        <x:v>11657</x:v>
      </x:c>
      <x:c r="J738" s="54" t="n">
        <x:v>79</x:v>
      </x:c>
      <x:c r="K738" s="53" t="n">
        <x:v>8.807888</x:v>
      </x:c>
      <x:c r="L738" s="53" t="n">
        <x:v>37.403468</x:v>
      </x:c>
      <x:c r="M738" s="53" t="n">
        <x:v>-121.974908</x:v>
      </x:c>
      <x:c r="N738" s="54" t="n">
        <x:v>250</x:v>
      </x:c>
      <x:c r="O738" s="54" t="n">
        <x:v>0</x:v>
      </x:c>
    </x:row>
    <x:row r="739">
      <x:c r="A739" s="54" t="n">
        <x:v>735</x:v>
      </x:c>
      <x:c r="B739" s="54" t="n">
        <x:v>5</x:v>
      </x:c>
      <x:c r="C739" s="54" t="n">
        <x:v>10</x:v>
      </x:c>
      <x:c r="D739" s="54" t="n">
        <x:v>4</x:v>
      </x:c>
      <x:c r="E739" s="54" t="n">
        <x:v>69045</x:v>
      </x:c>
      <x:c r="F739" s="54" t="n">
        <x:v>61987</x:v>
      </x:c>
      <x:c r="G739" s="54" t="n">
        <x:v>7469</x:v>
      </x:c>
      <x:c r="H739" s="54" t="n">
        <x:v>6868</x:v>
      </x:c>
      <x:c r="I739" s="54" t="n">
        <x:v>3091</x:v>
      </x:c>
      <x:c r="J739" s="54" t="n">
        <x:v>131</x:v>
      </x:c>
      <x:c r="K739" s="53" t="n">
        <x:v>8.632123</x:v>
      </x:c>
      <x:c r="L739" s="53" t="n">
        <x:v>39.0491</x:v>
      </x:c>
      <x:c r="M739" s="53" t="n">
        <x:v>-94.4871</x:v>
      </x:c>
      <x:c r="N739" s="54" t="n">
        <x:v>400</x:v>
      </x:c>
      <x:c r="O739" s="54" t="n">
        <x:v>0</x:v>
      </x:c>
    </x:row>
    <x:row r="740">
      <x:c r="A740" s="54" t="n">
        <x:v>736</x:v>
      </x:c>
      <x:c r="B740" s="54" t="n">
        <x:v>3</x:v>
      </x:c>
      <x:c r="C740" s="54" t="n">
        <x:v>6</x:v>
      </x:c>
      <x:c r="D740" s="54" t="n">
        <x:v>0</x:v>
      </x:c>
      <x:c r="E740" s="54" t="n">
        <x:v>70649</x:v>
      </x:c>
      <x:c r="F740" s="54" t="n">
        <x:v>55436</x:v>
      </x:c>
      <x:c r="G740" s="54" t="n">
        <x:v>6299</x:v>
      </x:c>
      <x:c r="H740" s="54" t="n">
        <x:v>5302</x:v>
      </x:c>
      <x:c r="I740" s="54" t="n">
        <x:v>2386</x:v>
      </x:c>
      <x:c r="J740" s="54" t="n">
        <x:v>122</x:v>
      </x:c>
      <x:c r="K740" s="53" t="n">
        <x:v>10.033037</x:v>
      </x:c>
      <x:c r="L740" s="53" t="n">
        <x:v>32.7506</x:v>
      </x:c>
      <x:c r="M740" s="53" t="n">
        <x:v>-97.0915</x:v>
      </x:c>
      <x:c r="N740" s="54" t="n">
        <x:v>350</x:v>
      </x:c>
      <x:c r="O740" s="54" t="n">
        <x:v>0</x:v>
      </x:c>
    </x:row>
    <x:row r="741">
      <x:c r="A741" s="54" t="n">
        <x:v>737</x:v>
      </x:c>
      <x:c r="B741" s="54" t="n">
        <x:v>1</x:v>
      </x:c>
      <x:c r="C741" s="54" t="n">
        <x:v>1</x:v>
      </x:c>
      <x:c r="D741" s="54" t="n">
        <x:v>0</x:v>
      </x:c>
      <x:c r="E741" s="54" t="n">
        <x:v>68239</x:v>
      </x:c>
      <x:c r="F741" s="54" t="n">
        <x:v>56916</x:v>
      </x:c>
      <x:c r="G741" s="54" t="n">
        <x:v>31357</x:v>
      </x:c>
      <x:c r="H741" s="54" t="n">
        <x:v>22039</x:v>
      </x:c>
      <x:c r="I741" s="54" t="n">
        <x:v>12783</x:v>
      </x:c>
      <x:c r="J741" s="54" t="n">
        <x:v>62</x:v>
      </x:c>
      <x:c r="K741" s="53" t="n">
        <x:v>9.391018</x:v>
      </x:c>
      <x:c r="L741" s="53" t="n">
        <x:v>33.7565</x:v>
      </x:c>
      <x:c r="M741" s="53" t="n">
        <x:v>-84.4038</x:v>
      </x:c>
      <x:c r="N741" s="54" t="n">
        <x:v>250</x:v>
      </x:c>
      <x:c r="O741" s="54" t="n">
        <x:v>0</x:v>
      </x:c>
    </x:row>
    <x:row r="742">
      <x:c r="A742" s="54" t="n">
        <x:v>738</x:v>
      </x:c>
      <x:c r="B742" s="54" t="n">
        <x:v>5</x:v>
      </x:c>
      <x:c r="C742" s="54" t="n">
        <x:v>10</x:v>
      </x:c>
      <x:c r="D742" s="54" t="n">
        <x:v>1</x:v>
      </x:c>
      <x:c r="E742" s="54" t="n">
        <x:v>69045</x:v>
      </x:c>
      <x:c r="F742" s="54" t="n">
        <x:v>59458</x:v>
      </x:c>
      <x:c r="G742" s="54" t="n">
        <x:v>2973</x:v>
      </x:c>
      <x:c r="H742" s="54" t="n">
        <x:v>4757</x:v>
      </x:c>
      <x:c r="I742" s="54" t="n">
        <x:v>2141</x:v>
      </x:c>
      <x:c r="J742" s="54" t="n">
        <x:v>116</x:v>
      </x:c>
      <x:c r="K742" s="53" t="n">
        <x:v>8.632123</x:v>
      </x:c>
      <x:c r="L742" s="53" t="n">
        <x:v>39.0491</x:v>
      </x:c>
      <x:c r="M742" s="53" t="n">
        <x:v>-94.4871</x:v>
      </x:c>
      <x:c r="N742" s="54" t="n">
        <x:v>400</x:v>
      </x:c>
      <x:c r="O742" s="54" t="n">
        <x:v>0</x:v>
      </x:c>
    </x:row>
    <x:row r="743">
      <x:c r="A743" s="54" t="n">
        <x:v>739</x:v>
      </x:c>
      <x:c r="B743" s="54" t="n">
        <x:v>8</x:v>
      </x:c>
      <x:c r="C743" s="54" t="n">
        <x:v>15</x:v>
      </x:c>
      <x:c r="D743" s="54" t="n">
        <x:v>0</x:v>
      </x:c>
      <x:c r="E743" s="54" t="n">
        <x:v>80663</x:v>
      </x:c>
      <x:c r="F743" s="54" t="n">
        <x:v>64146</x:v>
      </x:c>
      <x:c r="G743" s="54" t="n">
        <x:v>17764</x:v>
      </x:c>
      <x:c r="H743" s="54" t="n">
        <x:v>41157</x:v>
      </x:c>
      <x:c r="I743" s="54" t="n">
        <x:v>22636</x:v>
      </x:c>
      <x:c r="J743" s="54" t="n">
        <x:v>63</x:v>
      </x:c>
      <x:c r="K743" s="53" t="n">
        <x:v>10.438681</x:v>
      </x:c>
      <x:c r="L743" s="53" t="n">
        <x:v>40.807664</x:v>
      </x:c>
      <x:c r="M743" s="53" t="n">
        <x:v>-74.069833</x:v>
      </x:c>
      <x:c r="N743" s="54" t="n">
        <x:v>250</x:v>
      </x:c>
      <x:c r="O743" s="54" t="n">
        <x:v>0</x:v>
      </x:c>
    </x:row>
    <x:row r="744">
      <x:c r="A744" s="54" t="n">
        <x:v>740</x:v>
      </x:c>
      <x:c r="B744" s="54" t="n">
        <x:v>6</x:v>
      </x:c>
      <x:c r="C744" s="54" t="n">
        <x:v>11</x:v>
      </x:c>
      <x:c r="D744" s="54" t="n">
        <x:v>0</x:v>
      </x:c>
      <x:c r="E744" s="54" t="n">
        <x:v>70492</x:v>
      </x:c>
      <x:c r="F744" s="54" t="n">
        <x:v>57534</x:v>
      </x:c>
      <x:c r="G744" s="54" t="n">
        <x:v>20702</x:v>
      </x:c>
      <x:c r="H744" s="54" t="n">
        <x:v>14731</x:v>
      </x:c>
      <x:c r="I744" s="54" t="n">
        <x:v>7366</x:v>
      </x:c>
      <x:c r="J744" s="54" t="n">
        <x:v>100</x:v>
      </x:c>
      <x:c r="K744" s="53" t="n">
        <x:v>9.603284</x:v>
      </x:c>
      <x:c r="L744" s="53" t="n">
        <x:v>33.9509</x:v>
      </x:c>
      <x:c r="M744" s="53" t="n">
        <x:v>-118.3441</x:v>
      </x:c>
      <x:c r="N744" s="54" t="n">
        <x:v>350</x:v>
      </x:c>
      <x:c r="O744" s="54" t="n">
        <x:v>0</x:v>
      </x:c>
    </x:row>
    <x:row r="745">
      <x:c r="A745" s="54" t="n">
        <x:v>741</x:v>
      </x:c>
      <x:c r="B745" s="54" t="n">
        <x:v>10</x:v>
      </x:c>
      <x:c r="C745" s="54" t="n">
        <x:v>19</x:v>
      </x:c>
      <x:c r="D745" s="54" t="n">
        <x:v>5</x:v>
      </x:c>
      <x:c r="E745" s="54" t="n">
        <x:v>68827</x:v>
      </x:c>
      <x:c r="F745" s="54" t="n">
        <x:v>68689</x:v>
      </x:c>
      <x:c r="G745" s="54" t="n">
        <x:v>40487</x:v>
      </x:c>
      <x:c r="H745" s="54" t="n">
        <x:v>33019</x:v>
      </x:c>
      <x:c r="I745" s="54" t="n">
        <x:v>21462</x:v>
      </x:c>
      <x:c r="J745" s="54" t="n">
        <x:v>107</x:v>
      </x:c>
      <x:c r="K745" s="53" t="n">
        <x:v>8.807888</x:v>
      </x:c>
      <x:c r="L745" s="53" t="n">
        <x:v>37.403468</x:v>
      </x:c>
      <x:c r="M745" s="53" t="n">
        <x:v>-121.974908</x:v>
      </x:c>
      <x:c r="N745" s="54" t="n">
        <x:v>250</x:v>
      </x:c>
      <x:c r="O745" s="54" t="n">
        <x:v>1</x:v>
      </x:c>
    </x:row>
    <x:row r="746">
      <x:c r="A746" s="54" t="n">
        <x:v>742</x:v>
      </x:c>
      <x:c r="B746" s="54" t="n">
        <x:v>5</x:v>
      </x:c>
      <x:c r="C746" s="54" t="n">
        <x:v>10</x:v>
      </x:c>
      <x:c r="D746" s="54" t="n">
        <x:v>2</x:v>
      </x:c>
      <x:c r="E746" s="54" t="n">
        <x:v>69045</x:v>
      </x:c>
      <x:c r="F746" s="54" t="n">
        <x:v>64764</x:v>
      </x:c>
      <x:c r="G746" s="54" t="n">
        <x:v>10488</x:v>
      </x:c>
      <x:c r="H746" s="54" t="n">
        <x:v>12802</x:v>
      </x:c>
      <x:c r="I746" s="54" t="n">
        <x:v>5761</x:v>
      </x:c>
      <x:c r="J746" s="54" t="n">
        <x:v>130</x:v>
      </x:c>
      <x:c r="K746" s="53" t="n">
        <x:v>8.632123</x:v>
      </x:c>
      <x:c r="L746" s="53" t="n">
        <x:v>39.0491</x:v>
      </x:c>
      <x:c r="M746" s="53" t="n">
        <x:v>-94.4871</x:v>
      </x:c>
      <x:c r="N746" s="54" t="n">
        <x:v>400</x:v>
      </x:c>
      <x:c r="O746" s="54" t="n">
        <x:v>1</x:v>
      </x:c>
    </x:row>
    <x:row r="747">
      <x:c r="A747" s="54" t="n">
        <x:v>743</x:v>
      </x:c>
      <x:c r="B747" s="54" t="n">
        <x:v>1</x:v>
      </x:c>
      <x:c r="C747" s="54" t="n">
        <x:v>1</x:v>
      </x:c>
      <x:c r="D747" s="54" t="n">
        <x:v>0</x:v>
      </x:c>
      <x:c r="E747" s="54" t="n">
        <x:v>68239</x:v>
      </x:c>
      <x:c r="F747" s="54" t="n">
        <x:v>52225</x:v>
      </x:c>
      <x:c r="G747" s="54" t="n">
        <x:v>22221</x:v>
      </x:c>
      <x:c r="H747" s="54" t="n">
        <x:v>19306</x:v>
      </x:c>
      <x:c r="I747" s="54" t="n">
        <x:v>11197</x:v>
      </x:c>
      <x:c r="J747" s="54" t="n">
        <x:v>75</x:v>
      </x:c>
      <x:c r="K747" s="53" t="n">
        <x:v>9.391018</x:v>
      </x:c>
      <x:c r="L747" s="53" t="n">
        <x:v>33.7565</x:v>
      </x:c>
      <x:c r="M747" s="53" t="n">
        <x:v>-84.4038</x:v>
      </x:c>
      <x:c r="N747" s="54" t="n">
        <x:v>250</x:v>
      </x:c>
      <x:c r="O747" s="54" t="n">
        <x:v>0</x:v>
      </x:c>
    </x:row>
    <x:row r="748">
      <x:c r="A748" s="54" t="n">
        <x:v>744</x:v>
      </x:c>
      <x:c r="B748" s="54" t="n">
        <x:v>10</x:v>
      </x:c>
      <x:c r="C748" s="54" t="n">
        <x:v>19</x:v>
      </x:c>
      <x:c r="D748" s="54" t="n">
        <x:v>0</x:v>
      </x:c>
      <x:c r="E748" s="54" t="n">
        <x:v>68827</x:v>
      </x:c>
      <x:c r="F748" s="54" t="n">
        <x:v>59327</x:v>
      </x:c>
      <x:c r="G748" s="54" t="n">
        <x:v>34598</x:v>
      </x:c>
      <x:c r="H748" s="54" t="n">
        <x:v>25586</x:v>
      </x:c>
      <x:c r="I748" s="54" t="n">
        <x:v>16631</x:v>
      </x:c>
      <x:c r="J748" s="54" t="n">
        <x:v>87</x:v>
      </x:c>
      <x:c r="K748" s="53" t="n">
        <x:v>8.807888</x:v>
      </x:c>
      <x:c r="L748" s="53" t="n">
        <x:v>37.403468</x:v>
      </x:c>
      <x:c r="M748" s="53" t="n">
        <x:v>-121.974908</x:v>
      </x:c>
      <x:c r="N748" s="54" t="n">
        <x:v>250</x:v>
      </x:c>
      <x:c r="O748" s="54" t="n">
        <x:v>1</x:v>
      </x:c>
    </x:row>
    <x:row r="749">
      <x:c r="A749" s="54" t="n">
        <x:v>745</x:v>
      </x:c>
      <x:c r="B749" s="54" t="n">
        <x:v>3</x:v>
      </x:c>
      <x:c r="C749" s="54" t="n">
        <x:v>5</x:v>
      </x:c>
      <x:c r="D749" s="54" t="n">
        <x:v>0</x:v>
      </x:c>
      <x:c r="E749" s="54" t="n">
        <x:v>70649</x:v>
      </x:c>
      <x:c r="F749" s="54" t="n">
        <x:v>62550</x:v>
      </x:c>
      <x:c r="G749" s="54" t="n">
        <x:v>16218</x:v>
      </x:c>
      <x:c r="H749" s="54" t="n">
        <x:v>12497</x:v>
      </x:c>
      <x:c r="I749" s="54" t="n">
        <x:v>6873</x:v>
      </x:c>
      <x:c r="J749" s="54" t="n">
        <x:v>109</x:v>
      </x:c>
      <x:c r="K749" s="53" t="n">
        <x:v>10.033037</x:v>
      </x:c>
      <x:c r="L749" s="53" t="n">
        <x:v>32.7479</x:v>
      </x:c>
      <x:c r="M749" s="53" t="n">
        <x:v>-97.0909</x:v>
      </x:c>
      <x:c r="N749" s="54" t="n">
        <x:v>300</x:v>
      </x:c>
      <x:c r="O749" s="54" t="n">
        <x:v>0</x:v>
      </x:c>
    </x:row>
    <x:row r="750">
      <x:c r="A750" s="54" t="n">
        <x:v>746</x:v>
      </x:c>
      <x:c r="B750" s="54" t="n">
        <x:v>6</x:v>
      </x:c>
      <x:c r="C750" s="54" t="n">
        <x:v>11</x:v>
      </x:c>
      <x:c r="D750" s="54" t="n">
        <x:v>0</x:v>
      </x:c>
      <x:c r="E750" s="54" t="n">
        <x:v>70492</x:v>
      </x:c>
      <x:c r="F750" s="54" t="n">
        <x:v>64222</x:v>
      </x:c>
      <x:c r="G750" s="54" t="n">
        <x:v>22768</x:v>
      </x:c>
      <x:c r="H750" s="54" t="n">
        <x:v>13791</x:v>
      </x:c>
      <x:c r="I750" s="54" t="n">
        <x:v>6896</x:v>
      </x:c>
      <x:c r="J750" s="54" t="n">
        <x:v>98</x:v>
      </x:c>
      <x:c r="K750" s="53" t="n">
        <x:v>9.603284</x:v>
      </x:c>
      <x:c r="L750" s="53" t="n">
        <x:v>33.9509</x:v>
      </x:c>
      <x:c r="M750" s="53" t="n">
        <x:v>-118.3441</x:v>
      </x:c>
      <x:c r="N750" s="54" t="n">
        <x:v>350</x:v>
      </x:c>
      <x:c r="O750" s="54" t="n">
        <x:v>0</x:v>
      </x:c>
    </x:row>
    <x:row r="751">
      <x:c r="A751" s="54" t="n">
        <x:v>747</x:v>
      </x:c>
      <x:c r="B751" s="54" t="n">
        <x:v>2</x:v>
      </x:c>
      <x:c r="C751" s="54" t="n">
        <x:v>3</x:v>
      </x:c>
      <x:c r="D751" s="54" t="n">
        <x:v>0</x:v>
      </x:c>
      <x:c r="E751" s="54" t="n">
        <x:v>64146</x:v>
      </x:c>
      <x:c r="F751" s="54" t="n">
        <x:v>59483</x:v>
      </x:c>
      <x:c r="G751" s="54" t="n">
        <x:v>16629</x:v>
      </x:c>
      <x:c r="H751" s="54" t="n">
        <x:v>18959</x:v>
      </x:c>
      <x:c r="I751" s="54" t="n">
        <x:v>12323</x:v>
      </x:c>
      <x:c r="J751" s="54" t="n">
        <x:v>115</x:v>
      </x:c>
      <x:c r="K751" s="53" t="n">
        <x:v>8.671598</x:v>
      </x:c>
      <x:c r="L751" s="53" t="n">
        <x:v>42.0889</x:v>
      </x:c>
      <x:c r="M751" s="53" t="n">
        <x:v>-71.2597</x:v>
      </x:c>
      <x:c r="N751" s="54" t="n">
        <x:v>250</x:v>
      </x:c>
      <x:c r="O751" s="54" t="n">
        <x:v>1</x:v>
      </x:c>
    </x:row>
    <x:row r="752">
      <x:c r="A752" s="54" t="n">
        <x:v>748</x:v>
      </x:c>
      <x:c r="B752" s="54" t="n">
        <x:v>4</x:v>
      </x:c>
      <x:c r="C752" s="54" t="n">
        <x:v>7</x:v>
      </x:c>
      <x:c r="D752" s="54" t="n">
        <x:v>1</x:v>
      </x:c>
      <x:c r="E752" s="54" t="n">
        <x:v>68777</x:v>
      </x:c>
      <x:c r="F752" s="54" t="n">
        <x:v>62302</x:v>
      </x:c>
      <x:c r="G752" s="54" t="n">
        <x:v>26655</x:v>
      </x:c>
      <x:c r="H752" s="54" t="n">
        <x:v>20406</x:v>
      </x:c>
      <x:c r="I752" s="54" t="n">
        <x:v>12244</x:v>
      </x:c>
      <x:c r="J752" s="54" t="n">
        <x:v>94</x:v>
      </x:c>
      <x:c r="K752" s="53" t="n">
        <x:v>9.092387</x:v>
      </x:c>
      <x:c r="L752" s="53" t="n">
        <x:v>29.6852</x:v>
      </x:c>
      <x:c r="M752" s="53" t="n">
        <x:v>-95.407</x:v>
      </x:c>
      <x:c r="N752" s="54" t="n">
        <x:v>250</x:v>
      </x:c>
      <x:c r="O752" s="54" t="n">
        <x:v>1</x:v>
      </x:c>
    </x:row>
    <x:row r="753">
      <x:c r="A753" s="54" t="n">
        <x:v>749</x:v>
      </x:c>
      <x:c r="B753" s="54" t="n">
        <x:v>7</x:v>
      </x:c>
      <x:c r="C753" s="54" t="n">
        <x:v>13</x:v>
      </x:c>
      <x:c r="D753" s="54" t="n">
        <x:v>3</x:v>
      </x:c>
      <x:c r="E753" s="54" t="n">
        <x:v>64478</x:v>
      </x:c>
      <x:c r="F753" s="54" t="n">
        <x:v>57767</x:v>
      </x:c>
      <x:c r="G753" s="54" t="n">
        <x:v>15051</x:v>
      </x:c>
      <x:c r="H753" s="54" t="n">
        <x:v>4621</x:v>
      </x:c>
      <x:c r="I753" s="54" t="n">
        <x:v>2542</x:v>
      </x:c>
      <x:c r="J753" s="54" t="n">
        <x:v>128</x:v>
      </x:c>
      <x:c r="K753" s="53" t="n">
        <x:v>8.69743</x:v>
      </x:c>
      <x:c r="L753" s="53" t="n">
        <x:v>25.957</x:v>
      </x:c>
      <x:c r="M753" s="53" t="n">
        <x:v>-80.2425</x:v>
      </x:c>
      <x:c r="N753" s="54" t="n">
        <x:v>400</x:v>
      </x:c>
      <x:c r="O753" s="54" t="n">
        <x:v>1</x:v>
      </x:c>
    </x:row>
    <x:row r="754">
      <x:c r="A754" s="54" t="n">
        <x:v>750</x:v>
      </x:c>
      <x:c r="B754" s="54" t="n">
        <x:v>2</x:v>
      </x:c>
      <x:c r="C754" s="54" t="n">
        <x:v>4</x:v>
      </x:c>
      <x:c r="D754" s="54" t="n">
        <x:v>0</x:v>
      </x:c>
      <x:c r="E754" s="54" t="n">
        <x:v>64146</x:v>
      </x:c>
      <x:c r="F754" s="54" t="n">
        <x:v>64018</x:v>
      </x:c>
      <x:c r="G754" s="54" t="n">
        <x:v>14998</x:v>
      </x:c>
      <x:c r="H754" s="54" t="n">
        <x:v>14228</x:v>
      </x:c>
      <x:c r="I754" s="54" t="n">
        <x:v>4980</x:v>
      </x:c>
      <x:c r="J754" s="54" t="n">
        <x:v>97</x:v>
      </x:c>
      <x:c r="K754" s="53" t="n">
        <x:v>8.671598</x:v>
      </x:c>
      <x:c r="L754" s="53" t="n">
        <x:v>42.0916</x:v>
      </x:c>
      <x:c r="M754" s="53" t="n">
        <x:v>-71.2648</x:v>
      </x:c>
      <x:c r="N754" s="54" t="n">
        <x:v>300</x:v>
      </x:c>
      <x:c r="O754" s="54" t="n">
        <x:v>1</x:v>
      </x:c>
    </x:row>
    <x:row r="755">
      <x:c r="A755" s="54" t="n">
        <x:v>751</x:v>
      </x:c>
      <x:c r="B755" s="54" t="n">
        <x:v>3</x:v>
      </x:c>
      <x:c r="C755" s="54" t="n">
        <x:v>6</x:v>
      </x:c>
      <x:c r="D755" s="54" t="n">
        <x:v>0</x:v>
      </x:c>
      <x:c r="E755" s="54" t="n">
        <x:v>70649</x:v>
      </x:c>
      <x:c r="F755" s="54" t="n">
        <x:v>59540</x:v>
      </x:c>
      <x:c r="G755" s="54" t="n">
        <x:v>2977</x:v>
      </x:c>
      <x:c r="H755" s="54" t="n">
        <x:v>14322</x:v>
      </x:c>
      <x:c r="I755" s="54" t="n">
        <x:v>6445</x:v>
      </x:c>
      <x:c r="J755" s="54" t="n">
        <x:v>104</x:v>
      </x:c>
      <x:c r="K755" s="53" t="n">
        <x:v>10.033037</x:v>
      </x:c>
      <x:c r="L755" s="53" t="n">
        <x:v>32.7506</x:v>
      </x:c>
      <x:c r="M755" s="53" t="n">
        <x:v>-97.0915</x:v>
      </x:c>
      <x:c r="N755" s="54" t="n">
        <x:v>350</x:v>
      </x:c>
      <x:c r="O755" s="54" t="n">
        <x:v>0</x:v>
      </x:c>
    </x:row>
    <x:row r="756">
      <x:c r="A756" s="54" t="n">
        <x:v>752</x:v>
      </x:c>
      <x:c r="B756" s="54" t="n">
        <x:v>10</x:v>
      </x:c>
      <x:c r="C756" s="54" t="n">
        <x:v>19</x:v>
      </x:c>
      <x:c r="D756" s="54" t="n">
        <x:v>1</x:v>
      </x:c>
      <x:c r="E756" s="54" t="n">
        <x:v>68827</x:v>
      </x:c>
      <x:c r="F756" s="54" t="n">
        <x:v>65222</x:v>
      </x:c>
      <x:c r="G756" s="54" t="n">
        <x:v>34791</x:v>
      </x:c>
      <x:c r="H756" s="54" t="n">
        <x:v>24384</x:v>
      </x:c>
      <x:c r="I756" s="54" t="n">
        <x:v>15850</x:v>
      </x:c>
      <x:c r="J756" s="54" t="n">
        <x:v>89</x:v>
      </x:c>
      <x:c r="K756" s="53" t="n">
        <x:v>8.807888</x:v>
      </x:c>
      <x:c r="L756" s="53" t="n">
        <x:v>37.403468</x:v>
      </x:c>
      <x:c r="M756" s="53" t="n">
        <x:v>-121.974908</x:v>
      </x:c>
      <x:c r="N756" s="54" t="n">
        <x:v>250</x:v>
      </x:c>
      <x:c r="O756" s="54" t="n">
        <x:v>1</x:v>
      </x:c>
    </x:row>
    <x:row r="757">
      <x:c r="A757" s="54" t="n">
        <x:v>753</x:v>
      </x:c>
      <x:c r="B757" s="54" t="n">
        <x:v>6</x:v>
      </x:c>
      <x:c r="C757" s="54" t="n">
        <x:v>11</x:v>
      </x:c>
      <x:c r="D757" s="54" t="n">
        <x:v>0</x:v>
      </x:c>
      <x:c r="E757" s="54" t="n">
        <x:v>70492</x:v>
      </x:c>
      <x:c r="F757" s="54" t="n">
        <x:v>65157</x:v>
      </x:c>
      <x:c r="G757" s="54" t="n">
        <x:v>25851</x:v>
      </x:c>
      <x:c r="H757" s="54" t="n">
        <x:v>12604</x:v>
      </x:c>
      <x:c r="I757" s="54" t="n">
        <x:v>6302</x:v>
      </x:c>
      <x:c r="J757" s="54" t="n">
        <x:v>108</x:v>
      </x:c>
      <x:c r="K757" s="53" t="n">
        <x:v>9.603284</x:v>
      </x:c>
      <x:c r="L757" s="53" t="n">
        <x:v>33.9509</x:v>
      </x:c>
      <x:c r="M757" s="53" t="n">
        <x:v>-118.3441</x:v>
      </x:c>
      <x:c r="N757" s="54" t="n">
        <x:v>350</x:v>
      </x:c>
      <x:c r="O757" s="54" t="n">
        <x:v>0</x:v>
      </x:c>
    </x:row>
    <x:row r="758">
      <x:c r="A758" s="54" t="n">
        <x:v>754</x:v>
      </x:c>
      <x:c r="B758" s="54" t="n">
        <x:v>3</x:v>
      </x:c>
      <x:c r="C758" s="54" t="n">
        <x:v>6</x:v>
      </x:c>
      <x:c r="D758" s="54" t="n">
        <x:v>0</x:v>
      </x:c>
      <x:c r="E758" s="54" t="n">
        <x:v>70649</x:v>
      </x:c>
      <x:c r="F758" s="54" t="n">
        <x:v>66505</x:v>
      </x:c>
      <x:c r="G758" s="54" t="n">
        <x:v>8128</x:v>
      </x:c>
      <x:c r="H758" s="54" t="n">
        <x:v>8619</x:v>
      </x:c>
      <x:c r="I758" s="54" t="n">
        <x:v>3879</x:v>
      </x:c>
      <x:c r="J758" s="54" t="n">
        <x:v>113</x:v>
      </x:c>
      <x:c r="K758" s="53" t="n">
        <x:v>10.033037</x:v>
      </x:c>
      <x:c r="L758" s="53" t="n">
        <x:v>32.7506</x:v>
      </x:c>
      <x:c r="M758" s="53" t="n">
        <x:v>-97.0915</x:v>
      </x:c>
      <x:c r="N758" s="54" t="n">
        <x:v>350</x:v>
      </x:c>
      <x:c r="O758" s="54" t="n">
        <x:v>0</x:v>
      </x:c>
    </x:row>
    <x:row r="759">
      <x:c r="A759" s="54" t="n">
        <x:v>755</x:v>
      </x:c>
      <x:c r="B759" s="54" t="n">
        <x:v>10</x:v>
      </x:c>
      <x:c r="C759" s="54" t="n">
        <x:v>19</x:v>
      </x:c>
      <x:c r="D759" s="54" t="n">
        <x:v>0</x:v>
      </x:c>
      <x:c r="E759" s="54" t="n">
        <x:v>68827</x:v>
      </x:c>
      <x:c r="F759" s="54" t="n">
        <x:v>64612</x:v>
      </x:c>
      <x:c r="G759" s="54" t="n">
        <x:v>34009</x:v>
      </x:c>
      <x:c r="H759" s="54" t="n">
        <x:v>23144</x:v>
      </x:c>
      <x:c r="I759" s="54" t="n">
        <x:v>15044</x:v>
      </x:c>
      <x:c r="J759" s="54" t="n">
        <x:v>89</x:v>
      </x:c>
      <x:c r="K759" s="53" t="n">
        <x:v>8.807888</x:v>
      </x:c>
      <x:c r="L759" s="53" t="n">
        <x:v>37.403468</x:v>
      </x:c>
      <x:c r="M759" s="53" t="n">
        <x:v>-121.974908</x:v>
      </x:c>
      <x:c r="N759" s="54" t="n">
        <x:v>250</x:v>
      </x:c>
      <x:c r="O759" s="54" t="n">
        <x:v>1</x:v>
      </x:c>
    </x:row>
    <x:row r="760">
      <x:c r="A760" s="54" t="n">
        <x:v>756</x:v>
      </x:c>
      <x:c r="B760" s="54" t="n">
        <x:v>7</x:v>
      </x:c>
      <x:c r="C760" s="54" t="n">
        <x:v>13</x:v>
      </x:c>
      <x:c r="D760" s="54" t="n">
        <x:v>0</x:v>
      </x:c>
      <x:c r="E760" s="54" t="n">
        <x:v>64478</x:v>
      </x:c>
      <x:c r="F760" s="54" t="n">
        <x:v>50532</x:v>
      </x:c>
      <x:c r="G760" s="54" t="n">
        <x:v>13165</x:v>
      </x:c>
      <x:c r="H760" s="54" t="n">
        <x:v>6511</x:v>
      </x:c>
      <x:c r="I760" s="54" t="n">
        <x:v>3581</x:v>
      </x:c>
      <x:c r="J760" s="54" t="n">
        <x:v>108</x:v>
      </x:c>
      <x:c r="K760" s="53" t="n">
        <x:v>8.69743</x:v>
      </x:c>
      <x:c r="L760" s="53" t="n">
        <x:v>25.957</x:v>
      </x:c>
      <x:c r="M760" s="53" t="n">
        <x:v>-80.2425</x:v>
      </x:c>
      <x:c r="N760" s="54" t="n">
        <x:v>400</x:v>
      </x:c>
      <x:c r="O760" s="54" t="n">
        <x:v>0</x:v>
      </x:c>
    </x:row>
    <x:row r="761">
      <x:c r="A761" s="54" t="n">
        <x:v>757</x:v>
      </x:c>
      <x:c r="B761" s="54" t="n">
        <x:v>2</x:v>
      </x:c>
      <x:c r="C761" s="54" t="n">
        <x:v>3</x:v>
      </x:c>
      <x:c r="D761" s="54" t="n">
        <x:v>0</x:v>
      </x:c>
      <x:c r="E761" s="54" t="n">
        <x:v>64146</x:v>
      </x:c>
      <x:c r="F761" s="54" t="n">
        <x:v>55606</x:v>
      </x:c>
      <x:c r="G761" s="54" t="n">
        <x:v>14021</x:v>
      </x:c>
      <x:c r="H761" s="54" t="n">
        <x:v>12648</x:v>
      </x:c>
      <x:c r="I761" s="54" t="n">
        <x:v>8221</x:v>
      </x:c>
      <x:c r="J761" s="54" t="n">
        <x:v>93</x:v>
      </x:c>
      <x:c r="K761" s="53" t="n">
        <x:v>8.671598</x:v>
      </x:c>
      <x:c r="L761" s="53" t="n">
        <x:v>42.0889</x:v>
      </x:c>
      <x:c r="M761" s="53" t="n">
        <x:v>-71.2597</x:v>
      </x:c>
      <x:c r="N761" s="54" t="n">
        <x:v>250</x:v>
      </x:c>
      <x:c r="O761" s="54" t="n">
        <x:v>0</x:v>
      </x:c>
    </x:row>
    <x:row r="762">
      <x:c r="A762" s="54" t="n">
        <x:v>758</x:v>
      </x:c>
      <x:c r="B762" s="54" t="n">
        <x:v>11</x:v>
      </x:c>
      <x:c r="C762" s="54" t="n">
        <x:v>21</x:v>
      </x:c>
      <x:c r="D762" s="54" t="n">
        <x:v>0</x:v>
      </x:c>
      <x:c r="E762" s="54" t="n">
        <x:v>66925</x:v>
      </x:c>
      <x:c r="F762" s="54" t="n">
        <x:v>52404</x:v>
      </x:c>
      <x:c r="G762" s="54" t="n">
        <x:v>24772</x:v>
      </x:c>
      <x:c r="H762" s="54" t="n">
        <x:v>30971</x:v>
      </x:c>
      <x:c r="I762" s="54" t="n">
        <x:v>17034</x:v>
      </x:c>
      <x:c r="J762" s="54" t="n">
        <x:v>59</x:v>
      </x:c>
      <x:c r="K762" s="53" t="n">
        <x:v>8.408439</x:v>
      </x:c>
      <x:c r="L762" s="53" t="n">
        <x:v>47.5917</x:v>
      </x:c>
      <x:c r="M762" s="53" t="n">
        <x:v>-122.3272</x:v>
      </x:c>
      <x:c r="N762" s="54" t="n">
        <x:v>250</x:v>
      </x:c>
      <x:c r="O762" s="54" t="n">
        <x:v>0</x:v>
      </x:c>
    </x:row>
    <x:row r="763">
      <x:c r="A763" s="54" t="n">
        <x:v>759</x:v>
      </x:c>
      <x:c r="B763" s="54" t="n">
        <x:v>10</x:v>
      </x:c>
      <x:c r="C763" s="54" t="n">
        <x:v>19</x:v>
      </x:c>
      <x:c r="D763" s="54" t="n">
        <x:v>3</x:v>
      </x:c>
      <x:c r="E763" s="54" t="n">
        <x:v>68827</x:v>
      </x:c>
      <x:c r="F763" s="54" t="n">
        <x:v>62836</x:v>
      </x:c>
      <x:c r="G763" s="54" t="n">
        <x:v>38944</x:v>
      </x:c>
      <x:c r="H763" s="54" t="n">
        <x:v>21381</x:v>
      </x:c>
      <x:c r="I763" s="54" t="n">
        <x:v>13898</x:v>
      </x:c>
      <x:c r="J763" s="54" t="n">
        <x:v>98</x:v>
      </x:c>
      <x:c r="K763" s="53" t="n">
        <x:v>8.807888</x:v>
      </x:c>
      <x:c r="L763" s="53" t="n">
        <x:v>37.403468</x:v>
      </x:c>
      <x:c r="M763" s="53" t="n">
        <x:v>-121.974908</x:v>
      </x:c>
      <x:c r="N763" s="54" t="n">
        <x:v>250</x:v>
      </x:c>
      <x:c r="O763" s="54" t="n">
        <x:v>1</x:v>
      </x:c>
    </x:row>
    <x:row r="764">
      <x:c r="A764" s="54" t="n">
        <x:v>760</x:v>
      </x:c>
      <x:c r="B764" s="54" t="n">
        <x:v>7</x:v>
      </x:c>
      <x:c r="C764" s="54" t="n">
        <x:v>14</x:v>
      </x:c>
      <x:c r="D764" s="54" t="n">
        <x:v>0</x:v>
      </x:c>
      <x:c r="E764" s="54" t="n">
        <x:v>64478</x:v>
      </x:c>
      <x:c r="F764" s="54" t="n">
        <x:v>47232</x:v>
      </x:c>
      <x:c r="G764" s="54" t="n">
        <x:v>4686</x:v>
      </x:c>
      <x:c r="H764" s="54" t="n">
        <x:v>4999</x:v>
      </x:c>
      <x:c r="I764" s="54" t="n">
        <x:v>2250</x:v>
      </x:c>
      <x:c r="J764" s="54" t="n">
        <x:v>111</x:v>
      </x:c>
      <x:c r="K764" s="53" t="n">
        <x:v>8.69743</x:v>
      </x:c>
      <x:c r="L764" s="53" t="n">
        <x:v>25.9549</x:v>
      </x:c>
      <x:c r="M764" s="53" t="n">
        <x:v>-80.2383</x:v>
      </x:c>
      <x:c r="N764" s="54" t="n">
        <x:v>350</x:v>
      </x:c>
      <x:c r="O764" s="54" t="n">
        <x:v>0</x:v>
      </x:c>
    </x:row>
    <x:row r="765">
      <x:c r="A765" s="54" t="n">
        <x:v>761</x:v>
      </x:c>
      <x:c r="B765" s="54" t="n">
        <x:v>9</x:v>
      </x:c>
      <x:c r="C765" s="54" t="n">
        <x:v>17</x:v>
      </x:c>
      <x:c r="D765" s="54" t="n">
        <x:v>0</x:v>
      </x:c>
      <x:c r="E765" s="54" t="n">
        <x:v>68324</x:v>
      </x:c>
      <x:c r="F765" s="54" t="n">
        <x:v>55132</x:v>
      </x:c>
      <x:c r="G765" s="54" t="n">
        <x:v>26132</x:v>
      </x:c>
      <x:c r="H765" s="54" t="n">
        <x:v>22553</x:v>
      </x:c>
      <x:c r="I765" s="54" t="n">
        <x:v>13532</x:v>
      </x:c>
      <x:c r="J765" s="54" t="n">
        <x:v>85</x:v>
      </x:c>
      <x:c r="K765" s="53" t="n">
        <x:v>8.474327</x:v>
      </x:c>
      <x:c r="L765" s="53" t="n">
        <x:v>39.9047</x:v>
      </x:c>
      <x:c r="M765" s="53" t="n">
        <x:v>-75.1736</x:v>
      </x:c>
      <x:c r="N765" s="54" t="n">
        <x:v>250</x:v>
      </x:c>
      <x:c r="O765" s="54" t="n">
        <x:v>0</x:v>
      </x:c>
    </x:row>
    <x:row r="766">
      <x:c r="A766" s="54" t="n">
        <x:v>762</x:v>
      </x:c>
      <x:c r="B766" s="54" t="n">
        <x:v>4</x:v>
      </x:c>
      <x:c r="C766" s="54" t="n">
        <x:v>7</x:v>
      </x:c>
      <x:c r="D766" s="54" t="n">
        <x:v>0</x:v>
      </x:c>
      <x:c r="E766" s="54" t="n">
        <x:v>68777</x:v>
      </x:c>
      <x:c r="F766" s="54" t="n">
        <x:v>60878</x:v>
      </x:c>
      <x:c r="G766" s="54" t="n">
        <x:v>21595</x:v>
      </x:c>
      <x:c r="H766" s="54" t="n">
        <x:v>22212</x:v>
      </x:c>
      <x:c r="I766" s="54" t="n">
        <x:v>13327</x:v>
      </x:c>
      <x:c r="J766" s="54" t="n">
        <x:v>72</x:v>
      </x:c>
      <x:c r="K766" s="53" t="n">
        <x:v>9.092387</x:v>
      </x:c>
      <x:c r="L766" s="53" t="n">
        <x:v>29.6852</x:v>
      </x:c>
      <x:c r="M766" s="53" t="n">
        <x:v>-95.407</x:v>
      </x:c>
      <x:c r="N766" s="54" t="n">
        <x:v>250</x:v>
      </x:c>
      <x:c r="O766" s="54" t="n">
        <x:v>0</x:v>
      </x:c>
    </x:row>
    <x:row r="767">
      <x:c r="A767" s="54" t="n">
        <x:v>763</x:v>
      </x:c>
      <x:c r="B767" s="54" t="n">
        <x:v>1</x:v>
      </x:c>
      <x:c r="C767" s="54" t="n">
        <x:v>1</x:v>
      </x:c>
      <x:c r="D767" s="54" t="n">
        <x:v>0</x:v>
      </x:c>
      <x:c r="E767" s="54" t="n">
        <x:v>68239</x:v>
      </x:c>
      <x:c r="F767" s="54" t="n">
        <x:v>48193</x:v>
      </x:c>
      <x:c r="G767" s="54" t="n">
        <x:v>19708</x:v>
      </x:c>
      <x:c r="H767" s="54" t="n">
        <x:v>19736</x:v>
      </x:c>
      <x:c r="I767" s="54" t="n">
        <x:v>11447</x:v>
      </x:c>
      <x:c r="J767" s="54" t="n">
        <x:v>53</x:v>
      </x:c>
      <x:c r="K767" s="53" t="n">
        <x:v>9.391018</x:v>
      </x:c>
      <x:c r="L767" s="53" t="n">
        <x:v>33.7565</x:v>
      </x:c>
      <x:c r="M767" s="53" t="n">
        <x:v>-84.4038</x:v>
      </x:c>
      <x:c r="N767" s="54" t="n">
        <x:v>250</x:v>
      </x:c>
      <x:c r="O767" s="54" t="n">
        <x:v>0</x:v>
      </x:c>
    </x:row>
    <x:row r="768">
      <x:c r="A768" s="54" t="n">
        <x:v>764</x:v>
      </x:c>
      <x:c r="B768" s="54" t="n">
        <x:v>2</x:v>
      </x:c>
      <x:c r="C768" s="54" t="n">
        <x:v>4</x:v>
      </x:c>
      <x:c r="D768" s="54" t="n">
        <x:v>0</x:v>
      </x:c>
      <x:c r="E768" s="54" t="n">
        <x:v>64146</x:v>
      </x:c>
      <x:c r="F768" s="54" t="n">
        <x:v>48992</x:v>
      </x:c>
      <x:c r="G768" s="54" t="n">
        <x:v>11396</x:v>
      </x:c>
      <x:c r="H768" s="54" t="n">
        <x:v>13754</x:v>
      </x:c>
      <x:c r="I768" s="54" t="n">
        <x:v>4814</x:v>
      </x:c>
      <x:c r="J768" s="54" t="n">
        <x:v>106</x:v>
      </x:c>
      <x:c r="K768" s="53" t="n">
        <x:v>8.671598</x:v>
      </x:c>
      <x:c r="L768" s="53" t="n">
        <x:v>42.0916</x:v>
      </x:c>
      <x:c r="M768" s="53" t="n">
        <x:v>-71.2648</x:v>
      </x:c>
      <x:c r="N768" s="54" t="n">
        <x:v>300</x:v>
      </x:c>
      <x:c r="O768" s="54" t="n">
        <x:v>0</x:v>
      </x:c>
    </x:row>
    <x:row r="769">
      <x:c r="A769" s="54" t="n">
        <x:v>765</x:v>
      </x:c>
      <x:c r="B769" s="54" t="n">
        <x:v>11</x:v>
      </x:c>
      <x:c r="C769" s="54" t="n">
        <x:v>21</x:v>
      </x:c>
      <x:c r="D769" s="54" t="n">
        <x:v>0</x:v>
      </x:c>
      <x:c r="E769" s="54" t="n">
        <x:v>66925</x:v>
      </x:c>
      <x:c r="F769" s="54" t="n">
        <x:v>50061</x:v>
      </x:c>
      <x:c r="G769" s="54" t="n">
        <x:v>31742</x:v>
      </x:c>
      <x:c r="H769" s="54" t="n">
        <x:v>31452</x:v>
      </x:c>
      <x:c r="I769" s="54" t="n">
        <x:v>17299</x:v>
      </x:c>
      <x:c r="J769" s="54" t="n">
        <x:v>65</x:v>
      </x:c>
      <x:c r="K769" s="53" t="n">
        <x:v>8.408439</x:v>
      </x:c>
      <x:c r="L769" s="53" t="n">
        <x:v>47.5917</x:v>
      </x:c>
      <x:c r="M769" s="53" t="n">
        <x:v>-122.3272</x:v>
      </x:c>
      <x:c r="N769" s="54" t="n">
        <x:v>250</x:v>
      </x:c>
      <x:c r="O769" s="54" t="n">
        <x:v>1</x:v>
      </x:c>
    </x:row>
    <x:row r="770">
      <x:c r="A770" s="54" t="n">
        <x:v>766</x:v>
      </x:c>
      <x:c r="B770" s="54" t="n">
        <x:v>4</x:v>
      </x:c>
      <x:c r="C770" s="54" t="n">
        <x:v>7</x:v>
      </x:c>
      <x:c r="D770" s="54" t="n">
        <x:v>2</x:v>
      </x:c>
      <x:c r="E770" s="54" t="n">
        <x:v>68777</x:v>
      </x:c>
      <x:c r="F770" s="54" t="n">
        <x:v>60103</x:v>
      </x:c>
      <x:c r="G770" s="54" t="n">
        <x:v>21749</x:v>
      </x:c>
      <x:c r="H770" s="54" t="n">
        <x:v>22438</x:v>
      </x:c>
      <x:c r="I770" s="54" t="n">
        <x:v>13463</x:v>
      </x:c>
      <x:c r="J770" s="54" t="n">
        <x:v>94</x:v>
      </x:c>
      <x:c r="K770" s="53" t="n">
        <x:v>9.092387</x:v>
      </x:c>
      <x:c r="L770" s="53" t="n">
        <x:v>29.6852</x:v>
      </x:c>
      <x:c r="M770" s="53" t="n">
        <x:v>-95.407</x:v>
      </x:c>
      <x:c r="N770" s="54" t="n">
        <x:v>250</x:v>
      </x:c>
      <x:c r="O770" s="54" t="n">
        <x:v>1</x:v>
      </x:c>
    </x:row>
    <x:row r="771">
      <x:c r="A771" s="54" t="n">
        <x:v>767</x:v>
      </x:c>
      <x:c r="B771" s="54" t="n">
        <x:v>11</x:v>
      </x:c>
      <x:c r="C771" s="54" t="n">
        <x:v>21</x:v>
      </x:c>
      <x:c r="D771" s="54" t="n">
        <x:v>0</x:v>
      </x:c>
      <x:c r="E771" s="54" t="n">
        <x:v>66925</x:v>
      </x:c>
      <x:c r="F771" s="54" t="n">
        <x:v>50027</x:v>
      </x:c>
      <x:c r="G771" s="54" t="n">
        <x:v>23367</x:v>
      </x:c>
      <x:c r="H771" s="54" t="n">
        <x:v>28248</x:v>
      </x:c>
      <x:c r="I771" s="54" t="n">
        <x:v>15536</x:v>
      </x:c>
      <x:c r="J771" s="54" t="n">
        <x:v>59</x:v>
      </x:c>
      <x:c r="K771" s="53" t="n">
        <x:v>8.408439</x:v>
      </x:c>
      <x:c r="L771" s="53" t="n">
        <x:v>47.5917</x:v>
      </x:c>
      <x:c r="M771" s="53" t="n">
        <x:v>-122.3272</x:v>
      </x:c>
      <x:c r="N771" s="54" t="n">
        <x:v>250</x:v>
      </x:c>
      <x:c r="O771" s="54" t="n">
        <x:v>0</x:v>
      </x:c>
    </x:row>
    <x:row r="772">
      <x:c r="A772" s="54" t="n">
        <x:v>768</x:v>
      </x:c>
      <x:c r="B772" s="54" t="n">
        <x:v>7</x:v>
      </x:c>
      <x:c r="C772" s="54" t="n">
        <x:v>13</x:v>
      </x:c>
      <x:c r="D772" s="54" t="n">
        <x:v>0</x:v>
      </x:c>
      <x:c r="E772" s="54" t="n">
        <x:v>64478</x:v>
      </x:c>
      <x:c r="F772" s="54" t="n">
        <x:v>46886</x:v>
      </x:c>
      <x:c r="G772" s="54" t="n">
        <x:v>12690</x:v>
      </x:c>
      <x:c r="H772" s="54" t="n">
        <x:v>9817</x:v>
      </x:c>
      <x:c r="I772" s="54" t="n">
        <x:v>5399</x:v>
      </x:c>
      <x:c r="J772" s="54" t="n">
        <x:v>111</x:v>
      </x:c>
      <x:c r="K772" s="53" t="n">
        <x:v>8.69743</x:v>
      </x:c>
      <x:c r="L772" s="53" t="n">
        <x:v>25.957</x:v>
      </x:c>
      <x:c r="M772" s="53" t="n">
        <x:v>-80.2425</x:v>
      </x:c>
      <x:c r="N772" s="54" t="n">
        <x:v>400</x:v>
      </x:c>
      <x:c r="O772" s="54" t="n">
        <x:v>0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59f78898575241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26" hidden="0" customWidth="1"/>
    <x:col min="5" max="5" width="24" hidden="0" customWidth="1"/>
    <x:col min="6" max="6" width="18" hidden="0" customWidth="1"/>
    <x:col min="7" max="7" width="18" hidden="0" customWidth="1"/>
    <x:col min="8" max="8" width="20" hidden="0" customWidth="1"/>
    <x:col min="9" max="9" width="22" hidden="0" customWidth="1"/>
    <x:col min="10" max="10" width="24" hidden="0" customWidth="1"/>
    <x:col min="11" max="11" width="52" hidden="0" customWidth="1"/>
    <x:col min="12" max="12" width="52" hidden="0" customWidth="1"/>
    <x:col min="13" max="13" width="25" hidden="0" customWidth="1"/>
  </x:cols>
  <x:sheetData>
    <x:row r="1" ht="30" customHeight="1">
      <x:c r="A1" s="43" t="str">
        <x:v>Intervention Cost, Phase and 3D Dictionary</x:v>
      </x:c>
    </x:row>
    <x:row r="2" ht="40" customHeight="1">
      <x:c r="A2" s="46" t="str">
        <x:v>The cost and phase shares reproduce the demonstration allocation model. Replace them with agency estimates before procurement or engineering design.</x:v>
      </x:c>
    </x:row>
    <x:row r="4">
      <x:c r="A4" s="49" t="str">
        <x:v>category_code</x:v>
      </x:c>
      <x:c r="B4" s="49" t="str">
        <x:v>category</x:v>
      </x:c>
      <x:c r="C4" s="49" t="str">
        <x:v>category_name</x:v>
      </x:c>
      <x:c r="D4" s="49" t="str">
        <x:v>decision_unit</x:v>
      </x:c>
      <x:c r="E4" s="49" t="str">
        <x:v>typical_unit_cost_usd</x:v>
      </x:c>
      <x:c r="F4" s="49" t="str">
        <x:v>temporary_share</x:v>
      </x:c>
      <x:c r="G4" s="49" t="str">
        <x:v>permanent_share</x:v>
      </x:c>
      <x:c r="H4" s="49" t="str">
        <x:v>useful_life_years</x:v>
      </x:c>
      <x:c r="I4" s="49" t="str">
        <x:v>default_area_target</x:v>
      </x:c>
      <x:c r="J4" s="49" t="str">
        <x:v>default_geometry_type</x:v>
      </x:c>
      <x:c r="K4" s="49" t="str">
        <x:v>temporary_fix</x:v>
      </x:c>
      <x:c r="L4" s="49" t="str">
        <x:v>permanent_fix</x:v>
      </x:c>
      <x:c r="M4" s="49" t="str">
        <x:v>evidence_class</x:v>
      </x:c>
    </x:row>
    <x:row r="5">
      <x:c r="A5" s="52" t="n">
        <x:v>1</x:v>
      </x:c>
      <x:c r="B5" s="52" t="str">
        <x:v>service</x:v>
      </x:c>
      <x:c r="C5" s="52" t="str">
        <x:v>Extra transit service</x:v>
      </x:c>
      <x:c r="D5" s="52" t="str">
        <x:v>2,500 vehicle-hours</x:v>
      </x:c>
      <x:c r="E5" s="58" t="n">
        <x:v>550000</x:v>
      </x:c>
      <x:c r="F5" s="55" t="n">
        <x:v>0.8</x:v>
      </x:c>
      <x:c r="G5" s="55" t="n">
        <x:v>0.19999999999999996</x:v>
      </x:c>
      <x:c r="H5" s="52" t="n">
        <x:v>1</x:v>
      </x:c>
      <x:c r="I5" s="52" t="str">
        <x:v>transit</x:v>
      </x:c>
      <x:c r="J5" s="52" t="str">
        <x:v>animated_route</x:v>
      </x:c>
      <x:c r="K5" s="52" t="str">
        <x:v>extra rail/bus vehicle-hours; standby operators; event timetable</x:v>
      </x:c>
      <x:c r="L5" s="52" t="str">
        <x:v>recurring major-event service plan; fleet and stabling readiness</x:v>
      </x:c>
      <x:c r="M5" s="52" t="str">
        <x:v>engineering_assumption</x:v>
      </x:c>
    </x:row>
    <x:row r="6">
      <x:c r="A6" s="52" t="n">
        <x:v>2</x:v>
      </x:c>
      <x:c r="B6" s="52" t="str">
        <x:v>buslane</x:v>
      </x:c>
      <x:c r="C6" s="52" t="str">
        <x:v>Transit-priority lanes</x:v>
      </x:c>
      <x:c r="D6" s="52" t="str">
        <x:v>2 lane-miles</x:v>
      </x:c>
      <x:c r="E6" s="58" t="n">
        <x:v>360000</x:v>
      </x:c>
      <x:c r="F6" s="55" t="n">
        <x:v>0.45</x:v>
      </x:c>
      <x:c r="G6" s="55" t="n">
        <x:v>0.55</x:v>
      </x:c>
      <x:c r="H6" s="52" t="n">
        <x:v>10</x:v>
      </x:c>
      <x:c r="I6" s="52" t="str">
        <x:v>curb</x:v>
      </x:c>
      <x:c r="J6" s="52" t="str">
        <x:v>line_extrusion</x:v>
      </x:c>
      <x:c r="K6" s="52" t="str">
        <x:v>cone- and paint-defined bus lane with enforcement</x:v>
      </x:c>
      <x:c r="L6" s="52" t="str">
        <x:v>dedicated or peak-period transit-priority lane</x:v>
      </x:c>
      <x:c r="M6" s="52" t="str">
        <x:v>engineering_assumption</x:v>
      </x:c>
    </x:row>
    <x:row r="7">
      <x:c r="A7" s="52" t="n">
        <x:v>3</x:v>
      </x:c>
      <x:c r="B7" s="52" t="str">
        <x:v>signals</x:v>
      </x:c>
      <x:c r="C7" s="52" t="str">
        <x:v>Signal timing plans</x:v>
      </x:c>
      <x:c r="D7" s="52" t="str">
        <x:v>20 intersections</x:v>
      </x:c>
      <x:c r="E7" s="58" t="n">
        <x:v>90000</x:v>
      </x:c>
      <x:c r="F7" s="55" t="n">
        <x:v>0.25</x:v>
      </x:c>
      <x:c r="G7" s="55" t="n">
        <x:v>0.75</x:v>
      </x:c>
      <x:c r="H7" s="52" t="n">
        <x:v>10</x:v>
      </x:c>
      <x:c r="I7" s="52" t="str">
        <x:v>curb</x:v>
      </x:c>
      <x:c r="J7" s="52" t="str">
        <x:v>point_model</x:v>
      </x:c>
      <x:c r="K7" s="52" t="str">
        <x:v>police/manual traffic control and temporary timing plan</x:v>
      </x:c>
      <x:c r="L7" s="52" t="str">
        <x:v>adaptive controllers and transit signal priority</x:v>
      </x:c>
      <x:c r="M7" s="52" t="str">
        <x:v>engineering_assumption</x:v>
      </x:c>
    </x:row>
    <x:row r="8">
      <x:c r="A8" s="52" t="n">
        <x:v>4</x:v>
      </x:c>
      <x:c r="B8" s="52" t="str">
        <x:v>hub</x:v>
      </x:c>
      <x:c r="C8" s="52" t="str">
        <x:v>Hub-to-stadium shuttle package</x:v>
      </x:c>
      <x:c r="D8" s="52" t="str">
        <x:v>1 hub package</x:v>
      </x:c>
      <x:c r="E8" s="58" t="n">
        <x:v>750000</x:v>
      </x:c>
      <x:c r="F8" s="55" t="n">
        <x:v>0.4</x:v>
      </x:c>
      <x:c r="G8" s="55" t="n">
        <x:v>0.6</x:v>
      </x:c>
      <x:c r="H8" s="52" t="n">
        <x:v>15</x:v>
      </x:c>
      <x:c r="I8" s="52" t="str">
        <x:v>curb</x:v>
      </x:c>
      <x:c r="J8" s="52" t="str">
        <x:v>polygon_extrusion</x:v>
      </x:c>
      <x:c r="K8" s="52" t="str">
        <x:v>pop-up shuttle zone; temporary shelters and dispatch</x:v>
      </x:c>
      <x:c r="L8" s="52" t="str">
        <x:v>permanent multimodal mobility hub</x:v>
      </x:c>
      <x:c r="M8" s="52" t="str">
        <x:v>engineering_assumption</x:v>
      </x:c>
    </x:row>
    <x:row r="9">
      <x:c r="A9" s="52" t="n">
        <x:v>5</x:v>
      </x:c>
      <x:c r="B9" s="52" t="str">
        <x:v>parkride</x:v>
      </x:c>
      <x:c r="C9" s="52" t="str">
        <x:v>Park-and-ride package</x:v>
      </x:c>
      <x:c r="D9" s="52" t="str">
        <x:v>500 spaces</x:v>
      </x:c>
      <x:c r="E9" s="58" t="n">
        <x:v>450000</x:v>
      </x:c>
      <x:c r="F9" s="55" t="n">
        <x:v>0.5</x:v>
      </x:c>
      <x:c r="G9" s="55" t="n">
        <x:v>0.5</x:v>
      </x:c>
      <x:c r="H9" s="52" t="n">
        <x:v>5</x:v>
      </x:c>
      <x:c r="I9" s="52" t="str">
        <x:v>curb</x:v>
      </x:c>
      <x:c r="J9" s="52" t="str">
        <x:v>polygon_extrusion</x:v>
      </x:c>
      <x:c r="K9" s="52" t="str">
        <x:v>leased intercept lots and temporary signing</x:v>
      </x:c>
      <x:c r="L9" s="52" t="str">
        <x:v>permanent park-and-ride with charging and transit access</x:v>
      </x:c>
      <x:c r="M9" s="52" t="str">
        <x:v>engineering_assumption</x:v>
      </x:c>
    </x:row>
    <x:row r="10">
      <x:c r="A10" s="52" t="n">
        <x:v>6</x:v>
      </x:c>
      <x:c r="B10" s="52" t="str">
        <x:v>ped</x:v>
      </x:c>
      <x:c r="C10" s="52" t="str">
        <x:v>Protected pedestrian corridor</x:v>
      </x:c>
      <x:c r="D10" s="52" t="str">
        <x:v>1 tactical mile</x:v>
      </x:c>
      <x:c r="E10" s="58" t="n">
        <x:v>600000</x:v>
      </x:c>
      <x:c r="F10" s="55" t="n">
        <x:v>0.35</x:v>
      </x:c>
      <x:c r="G10" s="55" t="n">
        <x:v>0.65</x:v>
      </x:c>
      <x:c r="H10" s="52" t="n">
        <x:v>15</x:v>
      </x:c>
      <x:c r="I10" s="52" t="str">
        <x:v>transit</x:v>
      </x:c>
      <x:c r="J10" s="52" t="str">
        <x:v>line_extrusion</x:v>
      </x:c>
      <x:c r="K10" s="52" t="str">
        <x:v>barricaded protected corridor; marshals and lighting</x:v>
      </x:c>
      <x:c r="L10" s="52" t="str">
        <x:v>widened sidewalk; lighting; drainage and separation</x:v>
      </x:c>
      <x:c r="M10" s="52" t="str">
        <x:v>engineering_assumption</x:v>
      </x:c>
    </x:row>
    <x:row r="11">
      <x:c r="A11" s="52" t="n">
        <x:v>7</x:v>
      </x:c>
      <x:c r="B11" s="52" t="str">
        <x:v>bike</x:v>
      </x:c>
      <x:c r="C11" s="52" t="str">
        <x:v>Protected bicycle access</x:v>
      </x:c>
      <x:c r="D11" s="52" t="str">
        <x:v>2 route-miles + parking</x:v>
      </x:c>
      <x:c r="E11" s="58" t="n">
        <x:v>650000</x:v>
      </x:c>
      <x:c r="F11" s="55" t="n">
        <x:v>0.35</x:v>
      </x:c>
      <x:c r="G11" s="55" t="n">
        <x:v>0.65</x:v>
      </x:c>
      <x:c r="H11" s="52" t="n">
        <x:v>15</x:v>
      </x:c>
      <x:c r="I11" s="52" t="str">
        <x:v>transit</x:v>
      </x:c>
      <x:c r="J11" s="52" t="str">
        <x:v>line_extrusion</x:v>
      </x:c>
      <x:c r="K11" s="52" t="str">
        <x:v>pop-up protected lane and attended bike valet</x:v>
      </x:c>
      <x:c r="L11" s="52" t="str">
        <x:v>protected bikeway and secure long-term parking</x:v>
      </x:c>
      <x:c r="M11" s="52" t="str">
        <x:v>engineering_assumption</x:v>
      </x:c>
    </x:row>
    <x:row r="12">
      <x:c r="A12" s="52" t="n">
        <x:v>8</x:v>
      </x:c>
      <x:c r="B12" s="52" t="str">
        <x:v>tnc</x:v>
      </x:c>
      <x:c r="C12" s="52" t="str">
        <x:v>Managed rideshare hub</x:v>
      </x:c>
      <x:c r="D12" s="52" t="str">
        <x:v>1 staffed hub</x:v>
      </x:c>
      <x:c r="E12" s="58" t="n">
        <x:v>400000</x:v>
      </x:c>
      <x:c r="F12" s="55" t="n">
        <x:v>0.5</x:v>
      </x:c>
      <x:c r="G12" s="55" t="n">
        <x:v>0.5</x:v>
      </x:c>
      <x:c r="H12" s="52" t="n">
        <x:v>10</x:v>
      </x:c>
      <x:c r="I12" s="52" t="str">
        <x:v>curb</x:v>
      </x:c>
      <x:c r="J12" s="52" t="str">
        <x:v>polygon_extrusion</x:v>
      </x:c>
      <x:c r="K12" s="52" t="str">
        <x:v>staffed geofenced pickup with temporary lane control</x:v>
      </x:c>
      <x:c r="L12" s="52" t="str">
        <x:v>off-street rideshare hub with accessible bays</x:v>
      </x:c>
      <x:c r="M12" s="52" t="str">
        <x:v>engineering_assumption</x:v>
      </x:c>
    </x:row>
    <x:row r="13">
      <x:c r="A13" s="52" t="n">
        <x:v>9</x:v>
      </x:c>
      <x:c r="B13" s="52" t="str">
        <x:v>wayfinding</x:v>
      </x:c>
      <x:c r="C13" s="52" t="str">
        <x:v>Multilingual wayfinding</x:v>
      </x:c>
      <x:c r="D13" s="52" t="str">
        <x:v>city package</x:v>
      </x:c>
      <x:c r="E13" s="58" t="n">
        <x:v>300000</x:v>
      </x:c>
      <x:c r="F13" s="55" t="n">
        <x:v>0.45</x:v>
      </x:c>
      <x:c r="G13" s="55" t="n">
        <x:v>0.55</x:v>
      </x:c>
      <x:c r="H13" s="52" t="n">
        <x:v>7</x:v>
      </x:c>
      <x:c r="I13" s="52" t="str">
        <x:v>transit</x:v>
      </x:c>
      <x:c r="J13" s="52" t="str">
        <x:v>point_model</x:v>
      </x:c>
      <x:c r="K13" s="52" t="str">
        <x:v>portable signs; digital messages; multilingual ambassadors</x:v>
      </x:c>
      <x:c r="L13" s="52" t="str">
        <x:v>fixed multilingual physical and digital wayfinding</x:v>
      </x:c>
      <x:c r="M13" s="52" t="str">
        <x:v>engineering_assumption</x:v>
      </x:c>
    </x:row>
    <x:row r="14">
      <x:c r="A14" s="52" t="n">
        <x:v>10</x:v>
      </x:c>
      <x:c r="B14" s="52" t="str">
        <x:v>station</x:v>
      </x:c>
      <x:c r="C14" s="52" t="str">
        <x:v>Station-capacity package</x:v>
      </x:c>
      <x:c r="D14" s="52" t="str">
        <x:v>1 station</x:v>
      </x:c>
      <x:c r="E14" s="58" t="n">
        <x:v>1250000</x:v>
      </x:c>
      <x:c r="F14" s="55" t="n">
        <x:v>0.2</x:v>
      </x:c>
      <x:c r="G14" s="55" t="n">
        <x:v>0.8</x:v>
      </x:c>
      <x:c r="H14" s="52" t="n">
        <x:v>25</x:v>
      </x:c>
      <x:c r="I14" s="52" t="str">
        <x:v>transit</x:v>
      </x:c>
      <x:c r="J14" s="52" t="str">
        <x:v>glb_model</x:v>
      </x:c>
      <x:c r="K14" s="52" t="str">
        <x:v>temporary gates; queue barriers; portable fare equipment</x:v>
      </x:c>
      <x:c r="L14" s="52" t="str">
        <x:v>platform, entry and circulation expansion</x:v>
      </x:c>
      <x:c r="M14" s="52" t="str">
        <x:v>engineering_assumption</x:v>
      </x:c>
    </x:row>
    <x:row r="15">
      <x:c r="A15" s="52" t="n">
        <x:v>11</x:v>
      </x:c>
      <x:c r="B15" s="52" t="str">
        <x:v>toc</x:v>
      </x:c>
      <x:c r="C15" s="52" t="str">
        <x:v>Integrated traffic operations</x:v>
      </x:c>
      <x:c r="D15" s="52" t="str">
        <x:v>city package</x:v>
      </x:c>
      <x:c r="E15" s="58" t="n">
        <x:v>750000</x:v>
      </x:c>
      <x:c r="F15" s="55" t="n">
        <x:v>0.25</x:v>
      </x:c>
      <x:c r="G15" s="55" t="n">
        <x:v>0.75</x:v>
      </x:c>
      <x:c r="H15" s="52" t="n">
        <x:v>10</x:v>
      </x:c>
      <x:c r="I15" s="52" t="str">
        <x:v>curb</x:v>
      </x:c>
      <x:c r="J15" s="52" t="str">
        <x:v>glb_model</x:v>
      </x:c>
      <x:c r="K15" s="52" t="str">
        <x:v>unified incident command and temporary sensor feeds</x:v>
      </x:c>
      <x:c r="L15" s="52" t="str">
        <x:v>integrated operations center and adaptive dispatch</x:v>
      </x:c>
      <x:c r="M15" s="52" t="str">
        <x:v>engineering_assumption</x:v>
      </x:c>
    </x:row>
    <x:row r="16">
      <x:c r="A16" s="52" t="n">
        <x:v>12</x:v>
      </x:c>
      <x:c r="B16" s="52" t="str">
        <x:v>access</x:v>
      </x:c>
      <x:c r="C16" s="52" t="str">
        <x:v>ADA/microtransit access</x:v>
      </x:c>
      <x:c r="D16" s="52" t="str">
        <x:v>city package</x:v>
      </x:c>
      <x:c r="E16" s="58" t="n">
        <x:v>500000</x:v>
      </x:c>
      <x:c r="F16" s="55" t="n">
        <x:v>0.3</x:v>
      </x:c>
      <x:c r="G16" s="55" t="n">
        <x:v>0.7</x:v>
      </x:c>
      <x:c r="H16" s="52" t="n">
        <x:v>15</x:v>
      </x:c>
      <x:c r="I16" s="52" t="str">
        <x:v>transit</x:v>
      </x:c>
      <x:c r="J16" s="52" t="str">
        <x:v>line_extrusion</x:v>
      </x:c>
      <x:c r="K16" s="52" t="str">
        <x:v>accessible shuttles; temporary ramps and staffed assistance</x:v>
      </x:c>
      <x:c r="L16" s="52" t="str">
        <x:v>ADA ramps; tactile guidance; accessible first/last-mile network</x:v>
      </x:c>
      <x:c r="M16" s="52" t="str">
        <x:v>engineering_assumption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d057ec404ea48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48" hidden="0" customWidth="1"/>
    <x:col min="4" max="4" width="48" hidden="0" customWidth="1"/>
  </x:cols>
  <x:sheetData>
    <x:row r="1" ht="30" customHeight="1">
      <x:c r="A1" s="43" t="str">
        <x:v>Numeric Codes and Implementation Rules</x:v>
      </x:c>
    </x:row>
    <x:row r="2" ht="40" customHeight="1">
      <x:c r="A2" s="46" t="str">
        <x:v>Use these exact mappings when training a model or joining to 3D geometry. Human-readable IDs remain in the spatial and funding tables.</x:v>
      </x:c>
    </x:row>
    <x:row r="4">
      <x:c r="A4" s="49" t="str">
        <x:v>field</x:v>
      </x:c>
      <x:c r="B4" s="49" t="str">
        <x:v>code</x:v>
      </x:c>
      <x:c r="C4" s="49" t="str">
        <x:v>meaning</x:v>
      </x:c>
      <x:c r="D4" s="49" t="str">
        <x:v>usage_note</x:v>
      </x:c>
    </x:row>
    <x:row r="5">
      <x:c r="A5" s="52" t="str">
        <x:v>HostRegionCode</x:v>
      </x:c>
      <x:c r="B5" s="52" t="n">
        <x:v>1</x:v>
      </x:c>
      <x:c r="C5" s="52" t="str">
        <x:v>Atlanta</x:v>
      </x:c>
      <x:c r="D5" s="52" t="str">
        <x:v>ML Dataset / all spatial tables</x:v>
      </x:c>
    </x:row>
    <x:row r="6">
      <x:c r="A6" s="52" t="str">
        <x:v>HostRegionCode</x:v>
      </x:c>
      <x:c r="B6" s="52" t="n">
        <x:v>2</x:v>
      </x:c>
      <x:c r="C6" s="52" t="str">
        <x:v>Boston</x:v>
      </x:c>
      <x:c r="D6" s="52" t="str">
        <x:v>ML Dataset / all spatial tables</x:v>
      </x:c>
    </x:row>
    <x:row r="7">
      <x:c r="A7" s="52" t="str">
        <x:v>HostRegionCode</x:v>
      </x:c>
      <x:c r="B7" s="52" t="n">
        <x:v>3</x:v>
      </x:c>
      <x:c r="C7" s="52" t="str">
        <x:v>Dallas</x:v>
      </x:c>
      <x:c r="D7" s="52" t="str">
        <x:v>ML Dataset / all spatial tables</x:v>
      </x:c>
    </x:row>
    <x:row r="8">
      <x:c r="A8" s="52" t="str">
        <x:v>HostRegionCode</x:v>
      </x:c>
      <x:c r="B8" s="52" t="n">
        <x:v>4</x:v>
      </x:c>
      <x:c r="C8" s="52" t="str">
        <x:v>Houston</x:v>
      </x:c>
      <x:c r="D8" s="52" t="str">
        <x:v>ML Dataset / all spatial tables</x:v>
      </x:c>
    </x:row>
    <x:row r="9">
      <x:c r="A9" s="52" t="str">
        <x:v>HostRegionCode</x:v>
      </x:c>
      <x:c r="B9" s="52" t="n">
        <x:v>5</x:v>
      </x:c>
      <x:c r="C9" s="52" t="str">
        <x:v>Kansas City</x:v>
      </x:c>
      <x:c r="D9" s="52" t="str">
        <x:v>ML Dataset / all spatial tables</x:v>
      </x:c>
    </x:row>
    <x:row r="10">
      <x:c r="A10" s="52" t="str">
        <x:v>HostRegionCode</x:v>
      </x:c>
      <x:c r="B10" s="52" t="n">
        <x:v>6</x:v>
      </x:c>
      <x:c r="C10" s="52" t="str">
        <x:v>Los Angeles</x:v>
      </x:c>
      <x:c r="D10" s="52" t="str">
        <x:v>ML Dataset / all spatial tables</x:v>
      </x:c>
    </x:row>
    <x:row r="11">
      <x:c r="A11" s="52" t="str">
        <x:v>HostRegionCode</x:v>
      </x:c>
      <x:c r="B11" s="52" t="n">
        <x:v>7</x:v>
      </x:c>
      <x:c r="C11" s="52" t="str">
        <x:v>Miami</x:v>
      </x:c>
      <x:c r="D11" s="52" t="str">
        <x:v>ML Dataset / all spatial tables</x:v>
      </x:c>
    </x:row>
    <x:row r="12">
      <x:c r="A12" s="52" t="str">
        <x:v>HostRegionCode</x:v>
      </x:c>
      <x:c r="B12" s="52" t="n">
        <x:v>8</x:v>
      </x:c>
      <x:c r="C12" s="52" t="str">
        <x:v>New York/New Jersey</x:v>
      </x:c>
      <x:c r="D12" s="52" t="str">
        <x:v>ML Dataset / all spatial tables</x:v>
      </x:c>
    </x:row>
    <x:row r="13">
      <x:c r="A13" s="52" t="str">
        <x:v>HostRegionCode</x:v>
      </x:c>
      <x:c r="B13" s="52" t="n">
        <x:v>9</x:v>
      </x:c>
      <x:c r="C13" s="52" t="str">
        <x:v>Philadelphia</x:v>
      </x:c>
      <x:c r="D13" s="52" t="str">
        <x:v>ML Dataset / all spatial tables</x:v>
      </x:c>
    </x:row>
    <x:row r="14">
      <x:c r="A14" s="52" t="str">
        <x:v>HostRegionCode</x:v>
      </x:c>
      <x:c r="B14" s="52" t="n">
        <x:v>10</x:v>
      </x:c>
      <x:c r="C14" s="52" t="str">
        <x:v>San Francisco Bay Area</x:v>
      </x:c>
      <x:c r="D14" s="52" t="str">
        <x:v>ML Dataset / all spatial tables</x:v>
      </x:c>
    </x:row>
    <x:row r="15">
      <x:c r="A15" s="52" t="str">
        <x:v>HostRegionCode</x:v>
      </x:c>
      <x:c r="B15" s="52" t="n">
        <x:v>11</x:v>
      </x:c>
      <x:c r="C15" s="52" t="str">
        <x:v>Seattle</x:v>
      </x:c>
      <x:c r="D15" s="52" t="str">
        <x:v>ML Dataset / all spatial tables</x:v>
      </x:c>
    </x:row>
    <x:row r="16">
      <x:c r="A16" s="52" t="str">
        <x:v>PrimaryAreaCode</x:v>
      </x:c>
      <x:c r="B16" s="52" t="n">
        <x:v>1</x:v>
      </x:c>
      <x:c r="C16" s="52" t="str">
        <x:v>Vine City Station–Northside Drive approach</x:v>
      </x:c>
      <x:c r="D16" s="52" t="str">
        <x:v>Join to area_id atl-vine-city</x:v>
      </x:c>
    </x:row>
    <x:row r="17">
      <x:c r="A17" s="52" t="str">
        <x:v>PrimaryAreaCode</x:v>
      </x:c>
      <x:c r="B17" s="52" t="n">
        <x:v>2</x:v>
      </x:c>
      <x:c r="C17" s="52" t="str">
        <x:v>GWCC/CNN Center–Andrew Young International Boulevard approach</x:v>
      </x:c>
      <x:c r="D17" s="52" t="str">
        <x:v>Join to area_id atl-sec-district</x:v>
      </x:c>
    </x:row>
    <x:row r="18">
      <x:c r="A18" s="52" t="str">
        <x:v>PrimaryAreaCode</x:v>
      </x:c>
      <x:c r="B18" s="52" t="n">
        <x:v>3</x:v>
      </x:c>
      <x:c r="C18" s="52" t="str">
        <x:v>Foxboro Station platform and stadium underpass</x:v>
      </x:c>
      <x:c r="D18" s="52" t="str">
        <x:v>Join to area_id bos-foxboro-station</x:v>
      </x:c>
    </x:row>
    <x:row r="19">
      <x:c r="A19" s="52" t="str">
        <x:v>PrimaryAreaCode</x:v>
      </x:c>
      <x:c r="B19" s="52" t="n">
        <x:v>4</x:v>
      </x:c>
      <x:c r="C19" s="52" t="str">
        <x:v>Patriot Place north plaza and Gate A</x:v>
      </x:c>
      <x:c r="D19" s="52" t="str">
        <x:v>Join to area_id bos-patriot-place-gate-a</x:v>
      </x:c>
    </x:row>
    <x:row r="20">
      <x:c r="A20" s="52" t="str">
        <x:v>PrimaryAreaCode</x:v>
      </x:c>
      <x:c r="B20" s="52" t="n">
        <x:v>5</x:v>
      </x:c>
      <x:c r="C20" s="52" t="str">
        <x:v>AT&amp;T Way east plaza approach</x:v>
      </x:c>
      <x:c r="D20" s="52" t="str">
        <x:v>Join to area_id dal-att-way-east-plaza</x:v>
      </x:c>
    </x:row>
    <x:row r="21">
      <x:c r="A21" s="52" t="str">
        <x:v>PrimaryAreaCode</x:v>
      </x:c>
      <x:c r="B21" s="52" t="n">
        <x:v>6</x:v>
      </x:c>
      <x:c r="C21" s="52" t="str">
        <x:v>Miller LiteHouse pickup at North Collins Street and Cowboys Way</x:v>
      </x:c>
      <x:c r="D21" s="52" t="str">
        <x:v>Join to area_id dal-miller-litehouse</x:v>
      </x:c>
    </x:row>
    <x:row r="22">
      <x:c r="A22" s="52" t="str">
        <x:v>PrimaryAreaCode</x:v>
      </x:c>
      <x:c r="B22" s="52" t="n">
        <x:v>7</x:v>
      </x:c>
      <x:c r="C22" s="52" t="str">
        <x:v>Stadium Park/Astrodome Station–Fannin Street approach</x:v>
      </x:c>
      <x:c r="D22" s="52" t="str">
        <x:v>Join to area_id hou-stadium-park-astrodome</x:v>
      </x:c>
    </x:row>
    <x:row r="23">
      <x:c r="A23" s="52" t="str">
        <x:v>PrimaryAreaCode</x:v>
      </x:c>
      <x:c r="B23" s="52" t="n">
        <x:v>8</x:v>
      </x:c>
      <x:c r="C23" s="52" t="str">
        <x:v>Kirby Drive and NRG Parkway west gate</x:v>
      </x:c>
      <x:c r="D23" s="52" t="str">
        <x:v>Join to area_id hou-kirby-nrg</x:v>
      </x:c>
    </x:row>
    <x:row r="24">
      <x:c r="A24" s="52" t="str">
        <x:v>PrimaryAreaCode</x:v>
      </x:c>
      <x:c r="B24" s="52" t="n">
        <x:v>9</x:v>
      </x:c>
      <x:c r="C24" s="52" t="str">
        <x:v>Blue Ridge Cutoff Gate 3 and bus zone</x:v>
      </x:c>
      <x:c r="D24" s="52" t="str">
        <x:v>Join to area_id kc-blue-ridge-gate3</x:v>
      </x:c>
    </x:row>
    <x:row r="25">
      <x:c r="A25" s="52" t="str">
        <x:v>PrimaryAreaCode</x:v>
      </x:c>
      <x:c r="B25" s="52" t="n">
        <x:v>10</x:v>
      </x:c>
      <x:c r="C25" s="52" t="str">
        <x:v>Arrowhead west parking and plaza approach</x:v>
      </x:c>
      <x:c r="D25" s="52" t="str">
        <x:v>Join to area_id kc-west-plaza</x:v>
      </x:c>
    </x:row>
    <x:row r="26">
      <x:c r="A26" s="52" t="str">
        <x:v>PrimaryAreaCode</x:v>
      </x:c>
      <x:c r="B26" s="52" t="n">
        <x:v>11</x:v>
      </x:c>
      <x:c r="C26" s="52" t="str">
        <x:v>SoFi south plaza at Pincay Drive and Prairie Avenue</x:v>
      </x:c>
      <x:c r="D26" s="52" t="str">
        <x:v>Join to area_id la-sofi-south-plaza</x:v>
      </x:c>
    </x:row>
    <x:row r="27">
      <x:c r="A27" s="52" t="str">
        <x:v>PrimaryAreaCode</x:v>
      </x:c>
      <x:c r="B27" s="52" t="n">
        <x:v>12</x:v>
      </x:c>
      <x:c r="C27" s="52" t="str">
        <x:v>Downtown Inglewood K Line shuttle interchange</x:v>
      </x:c>
      <x:c r="D27" s="52" t="str">
        <x:v>Join to area_id la-downtown-inglewood</x:v>
      </x:c>
    </x:row>
    <x:row r="28">
      <x:c r="A28" s="52" t="str">
        <x:v>PrimaryAreaCode</x:v>
      </x:c>
      <x:c r="B28" s="52" t="n">
        <x:v>13</x:v>
      </x:c>
      <x:c r="C28" s="52" t="str">
        <x:v>NW 199th Street and NW 27th Avenue approach</x:v>
      </x:c>
      <x:c r="D28" s="52" t="str">
        <x:v>Join to area_id mia-nw199-nw27</x:v>
      </x:c>
    </x:row>
    <x:row r="29">
      <x:c r="A29" s="52" t="str">
        <x:v>PrimaryAreaCode</x:v>
      </x:c>
      <x:c r="B29" s="52" t="n">
        <x:v>14</x:v>
      </x:c>
      <x:c r="C29" s="52" t="str">
        <x:v>Hard Rock Stadium south-gate rideshare and shuttle zone</x:v>
      </x:c>
      <x:c r="D29" s="52" t="str">
        <x:v>Join to area_id mia-south-gate</x:v>
      </x:c>
    </x:row>
    <x:row r="30">
      <x:c r="A30" s="52" t="str">
        <x:v>PrimaryAreaCode</x:v>
      </x:c>
      <x:c r="B30" s="52" t="n">
        <x:v>15</x:v>
      </x:c>
      <x:c r="C30" s="52" t="str">
        <x:v>Meadowlands Rail Station and aerial walkway</x:v>
      </x:c>
      <x:c r="D30" s="52" t="str">
        <x:v>Join to area_id nynj-meadowlands-station</x:v>
      </x:c>
    </x:row>
    <x:row r="31">
      <x:c r="A31" s="52" t="str">
        <x:v>PrimaryAreaCode</x:v>
      </x:c>
      <x:c r="B31" s="52" t="n">
        <x:v>16</x:v>
      </x:c>
      <x:c r="C31" s="52" t="str">
        <x:v>American Dream–MetLife protected corridor</x:v>
      </x:c>
      <x:c r="D31" s="52" t="str">
        <x:v>Join to area_id nynj-american-dream-corridor</x:v>
      </x:c>
    </x:row>
    <x:row r="32">
      <x:c r="A32" s="52" t="str">
        <x:v>PrimaryAreaCode</x:v>
      </x:c>
      <x:c r="B32" s="52" t="n">
        <x:v>17</x:v>
      </x:c>
      <x:c r="C32" s="52" t="str">
        <x:v>NRG Station and Broad Street queue zone</x:v>
      </x:c>
      <x:c r="D32" s="52" t="str">
        <x:v>Join to area_id phi-nrg-station</x:v>
      </x:c>
    </x:row>
    <x:row r="33">
      <x:c r="A33" s="52" t="str">
        <x:v>PrimaryAreaCode</x:v>
      </x:c>
      <x:c r="B33" s="52" t="n">
        <x:v>18</x:v>
      </x:c>
      <x:c r="C33" s="52" t="str">
        <x:v>Lincoln Financial Field Lots D/E east approach</x:v>
      </x:c>
      <x:c r="D33" s="52" t="str">
        <x:v>Join to area_id phi-lots-de</x:v>
      </x:c>
    </x:row>
    <x:row r="34">
      <x:c r="A34" s="52" t="str">
        <x:v>PrimaryAreaCode</x:v>
      </x:c>
      <x:c r="B34" s="52" t="n">
        <x:v>19</x:v>
      </x:c>
      <x:c r="C34" s="52" t="str">
        <x:v>Great America VTA station platform queue</x:v>
      </x:c>
      <x:c r="D34" s="52" t="str">
        <x:v>Join to area_id sf-great-america-station</x:v>
      </x:c>
    </x:row>
    <x:row r="35">
      <x:c r="A35" s="52" t="str">
        <x:v>PrimaryAreaCode</x:v>
      </x:c>
      <x:c r="B35" s="52" t="n">
        <x:v>20</x:v>
      </x:c>
      <x:c r="C35" s="52" t="str">
        <x:v>Tasman Drive and Marie P. DeBartolo Way east plaza</x:v>
      </x:c>
      <x:c r="D35" s="52" t="str">
        <x:v>Join to area_id sf-tasman-debartolo</x:v>
      </x:c>
    </x:row>
    <x:row r="36">
      <x:c r="A36" s="52" t="str">
        <x:v>PrimaryAreaCode</x:v>
      </x:c>
      <x:c r="B36" s="52" t="n">
        <x:v>21</x:v>
      </x:c>
      <x:c r="C36" s="52" t="str">
        <x:v>Stadium Station and Royal Brougham Way approach</x:v>
      </x:c>
      <x:c r="D36" s="52" t="str">
        <x:v>Join to area_id sea-stadium-station</x:v>
      </x:c>
    </x:row>
    <x:row r="37">
      <x:c r="A37" s="52" t="str">
        <x:v>PrimaryAreaCode</x:v>
      </x:c>
      <x:c r="B37" s="52" t="n">
        <x:v>22</x:v>
      </x:c>
      <x:c r="C37" s="52" t="str">
        <x:v>Occidental Avenue South plaza approach</x:v>
      </x:c>
      <x:c r="D37" s="52" t="str">
        <x:v>Join to area_id sea-occidental-south</x:v>
      </x:c>
    </x:row>
    <x:row r="38">
      <x:c r="A38" s="52" t="str">
        <x:v>MatchStageCode</x:v>
      </x:c>
      <x:c r="B38" s="52" t="n">
        <x:v>0</x:v>
      </x:c>
      <x:c r="C38" s="52" t="str">
        <x:v>Group stage</x:v>
      </x:c>
      <x:c r="D38" s="52" t="str">
        <x:v>ML Dataset</x:v>
      </x:c>
    </x:row>
    <x:row r="39">
      <x:c r="A39" s="52" t="str">
        <x:v>MatchStageCode</x:v>
      </x:c>
      <x:c r="B39" s="52" t="n">
        <x:v>1</x:v>
      </x:c>
      <x:c r="C39" s="52" t="str">
        <x:v>Round of 32</x:v>
      </x:c>
      <x:c r="D39" s="52" t="str">
        <x:v>ML Dataset</x:v>
      </x:c>
    </x:row>
    <x:row r="40">
      <x:c r="A40" s="52" t="str">
        <x:v>MatchStageCode</x:v>
      </x:c>
      <x:c r="B40" s="52" t="n">
        <x:v>2</x:v>
      </x:c>
      <x:c r="C40" s="52" t="str">
        <x:v>Round of 16</x:v>
      </x:c>
      <x:c r="D40" s="52" t="str">
        <x:v>ML Dataset</x:v>
      </x:c>
    </x:row>
    <x:row r="41">
      <x:c r="A41" s="52" t="str">
        <x:v>MatchStageCode</x:v>
      </x:c>
      <x:c r="B41" s="52" t="n">
        <x:v>3</x:v>
      </x:c>
      <x:c r="C41" s="52" t="str">
        <x:v>Quarterfinal</x:v>
      </x:c>
      <x:c r="D41" s="52" t="str">
        <x:v>ML Dataset</x:v>
      </x:c>
    </x:row>
    <x:row r="42">
      <x:c r="A42" s="52" t="str">
        <x:v>MatchStageCode</x:v>
      </x:c>
      <x:c r="B42" s="52" t="n">
        <x:v>4</x:v>
      </x:c>
      <x:c r="C42" s="52" t="str">
        <x:v>Semifinal</x:v>
      </x:c>
      <x:c r="D42" s="52" t="str">
        <x:v>ML Dataset</x:v>
      </x:c>
    </x:row>
    <x:row r="43">
      <x:c r="A43" s="52" t="str">
        <x:v>MatchStageCode</x:v>
      </x:c>
      <x:c r="B43" s="52" t="n">
        <x:v>5</x:v>
      </x:c>
      <x:c r="C43" s="52" t="str">
        <x:v>Final</x:v>
      </x:c>
      <x:c r="D43" s="52" t="str">
        <x:v>ML Dataset</x:v>
      </x:c>
    </x:row>
    <x:row r="44">
      <x:c r="A44" s="52" t="str">
        <x:v>Outcome</x:v>
      </x:c>
      <x:c r="B44" s="52" t="n">
        <x:v>0</x:v>
      </x:c>
      <x:c r="C44" s="52" t="str">
        <x:v>Lower intervention need</x:v>
      </x:c>
      <x:c r="D44" s="52" t="str">
        <x:v>Synthetic binary target</x:v>
      </x:c>
    </x:row>
    <x:row r="45">
      <x:c r="A45" s="52" t="str">
        <x:v>Outcome</x:v>
      </x:c>
      <x:c r="B45" s="52" t="n">
        <x:v>1</x:v>
      </x:c>
      <x:c r="C45" s="52" t="str">
        <x:v>High intervention need</x:v>
      </x:c>
      <x:c r="D45" s="52" t="str">
        <x:v>Synthetic binary target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1d976c3c1a247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64" hidden="0" customWidth="1"/>
    <x:col min="4" max="4" width="68" hidden="0" customWidth="1"/>
  </x:cols>
  <x:sheetData>
    <x:row r="1" ht="30" customHeight="1">
      <x:c r="A1" s="43" t="str">
        <x:v>Data Dictionary and Evidence Rules</x:v>
      </x:c>
    </x:row>
    <x:row r="2" ht="40" customHeight="1">
      <x:c r="A2" s="46" t="str">
        <x:v>Evidence class and qualifiers are part of the data contract. AI-generated explanations must reproduce them, especially where a comparator is not a pedestrian count.</x:v>
      </x:c>
    </x:row>
    <x:row r="4">
      <x:c r="A4" s="49" t="str">
        <x:v>domain_or_sheet</x:v>
      </x:c>
      <x:c r="B4" s="49" t="str">
        <x:v>field_or_class</x:v>
      </x:c>
      <x:c r="C4" s="49" t="str">
        <x:v>definition</x:v>
      </x:c>
      <x:c r="D4" s="49" t="str">
        <x:v>implementation_rule</x:v>
      </x:c>
    </x:row>
    <x:row r="5">
      <x:c r="A5" s="52" t="str">
        <x:v>Evidence</x:v>
      </x:c>
      <x:c r="B5" s="52" t="str">
        <x:v>observed_final</x:v>
      </x:c>
      <x:c r="C5" s="52" t="str">
        <x:v>Measured and published after the 2026 event or analog event</x:v>
      </x:c>
      <x:c r="D5" s="52" t="str">
        <x:v>Must retain its qualifier and source URL</x:v>
      </x:c>
    </x:row>
    <x:row r="6">
      <x:c r="A6" s="52" t="str">
        <x:v>Evidence</x:v>
      </x:c>
      <x:c r="B6" s="52" t="str">
        <x:v>observed_preliminary</x:v>
      </x:c>
      <x:c r="C6" s="52" t="str">
        <x:v>Published after the event but not yet final</x:v>
      </x:c>
      <x:c r="D6" s="52" t="str">
        <x:v>Display PRELIMINARY in the interface</x:v>
      </x:c>
    </x:row>
    <x:row r="7">
      <x:c r="A7" s="52" t="str">
        <x:v>Evidence</x:v>
      </x:c>
      <x:c r="B7" s="52" t="str">
        <x:v>official_plan</x:v>
      </x:c>
      <x:c r="C7" s="52" t="str">
        <x:v>Published operational plan, not an observed result</x:v>
      </x:c>
      <x:c r="D7" s="52" t="str">
        <x:v>Never label as actual</x:v>
      </x:c>
    </x:row>
    <x:row r="8">
      <x:c r="A8" s="52" t="str">
        <x:v>Evidence</x:v>
      </x:c>
      <x:c r="B8" s="52" t="str">
        <x:v>engineering_assumption</x:v>
      </x:c>
      <x:c r="C8" s="52" t="str">
        <x:v>Transparent modeling assumption used for design or allocation</x:v>
      </x:c>
      <x:c r="D8" s="52" t="str">
        <x:v>Expose in assumptions panel and sensitivity test</x:v>
      </x:c>
    </x:row>
    <x:row r="9">
      <x:c r="A9" s="52" t="str">
        <x:v>Pedestrian Areas</x:v>
      </x:c>
      <x:c r="B9" s="52" t="str">
        <x:v>area_code</x:v>
      </x:c>
      <x:c r="C9" s="52" t="str">
        <x:v>Numeric join key used by the ML Dataset</x:v>
      </x:c>
      <x:c r="D9" s="52" t="str">
        <x:v>Unique integer 1–22</x:v>
      </x:c>
    </x:row>
    <x:row r="10">
      <x:c r="A10" s="52" t="str">
        <x:v>Pedestrian Areas</x:v>
      </x:c>
      <x:c r="B10" s="52" t="str">
        <x:v>planning_anchor</x:v>
      </x:c>
      <x:c r="C10" s="52" t="str">
        <x:v>Latitude/longitude at a named access node</x:v>
      </x:c>
      <x:c r="D10" s="52" t="str">
        <x:v>Not survey-grade and not a construction staking point</x:v>
      </x:c>
    </x:row>
    <x:row r="11">
      <x:c r="A11" s="52" t="str">
        <x:v>Pedestrian Areas</x:v>
      </x:c>
      <x:c r="B11" s="52" t="str">
        <x:v>analysis_radius_m</x:v>
      </x:c>
      <x:c r="C11" s="52" t="str">
        <x:v>Radius for spatial aggregation around the anchor</x:v>
      </x:c>
      <x:c r="D11" s="52" t="str">
        <x:v>Use for GIS joins; do not treat as project boundary</x:v>
      </x:c>
    </x:row>
    <x:row r="12">
      <x:c r="A12" s="52" t="str">
        <x:v>Pedestrian Areas</x:v>
      </x:c>
      <x:c r="B12" s="52" t="str">
        <x:v>area_design_pedestrians</x:v>
      </x:c>
      <x:c r="C12" s="52" t="str">
        <x:v>Per-event external-corridor design volume</x:v>
      </x:c>
      <x:c r="D12" s="52" t="str">
        <x:v>Formula: city total × area share; modeled except NY/NJ city total</x:v>
      </x:c>
    </x:row>
    <x:row r="13">
      <x:c r="A13" s="52" t="str">
        <x:v>Funding Categories</x:v>
      </x:c>
      <x:c r="B13" s="52" t="str">
        <x:v>official_host_budget_usd</x:v>
      </x:c>
      <x:c r="C13" s="52" t="str">
        <x:v>Federal host-region allocation</x:v>
      </x:c>
      <x:c r="D13" s="52" t="str">
        <x:v>Official FTA figure repeated across category rows for context</x:v>
      </x:c>
    </x:row>
    <x:row r="14">
      <x:c r="A14" s="52" t="str">
        <x:v>Funding Categories</x:v>
      </x:c>
      <x:c r="B14" s="52" t="str">
        <x:v>modeled_category_allocation_usd</x:v>
      </x:c>
      <x:c r="C14" s="52" t="str">
        <x:v>Selected units × typical unit cost</x:v>
      </x:c>
      <x:c r="D14" s="52" t="str">
        <x:v>Scenario output, not an agency award or contract</x:v>
      </x:c>
    </x:row>
    <x:row r="15">
      <x:c r="A15" s="52" t="str">
        <x:v>Funding Categories</x:v>
      </x:c>
      <x:c r="B15" s="52" t="str">
        <x:v>reserve</x:v>
      </x:c>
      <x:c r="C15" s="52" t="str">
        <x:v>Official allocation not assigned by the demonstration optimizer</x:v>
      </x:c>
      <x:c r="D15" s="52" t="str">
        <x:v>Formula residual; keep uncommitted</x:v>
      </x:c>
    </x:row>
    <x:row r="16">
      <x:c r="A16" s="52" t="str">
        <x:v>3D Projects</x:v>
      </x:c>
      <x:c r="B16" s="52" t="str">
        <x:v>phase</x:v>
      </x:c>
      <x:c r="C16" s="52" t="str">
        <x:v>temporary or permanent geometry variant</x:v>
      </x:c>
      <x:c r="D16" s="52" t="str">
        <x:v>Allow toggling and side-by-side comparison</x:v>
      </x:c>
    </x:row>
    <x:row r="17">
      <x:c r="A17" s="52" t="str">
        <x:v>3D Projects</x:v>
      </x:c>
      <x:c r="B17" s="52" t="str">
        <x:v>render_enabled</x:v>
      </x:c>
      <x:c r="C17" s="52" t="str">
        <x:v>Yes only when the linked phase allocation is greater than zero</x:v>
      </x:c>
      <x:c r="D17" s="52" t="str">
        <x:v>Renderer must filter by this field</x:v>
      </x:c>
    </x:row>
    <x:row r="18">
      <x:c r="A18" s="52" t="str">
        <x:v>3D Projects</x:v>
      </x:c>
      <x:c r="B18" s="52" t="str">
        <x:v>geometry dimensions</x:v>
      </x:c>
      <x:c r="C18" s="52" t="str">
        <x:v>Conceptual footprint/height for prototyping</x:v>
      </x:c>
      <x:c r="D18" s="52" t="str">
        <x:v>Replace with surveyed design geometry before engineering use</x:v>
      </x:c>
    </x:row>
    <x:row r="19">
      <x:c r="A19" s="52" t="str">
        <x:v>Analog Events</x:v>
      </x:c>
      <x:c r="B19" s="52" t="str">
        <x:v>pedestrian_proxy</x:v>
      </x:c>
      <x:c r="C19" s="52" t="str">
        <x:v>Event attendance or transit boardings used as a planning ceiling/comparator</x:v>
      </x:c>
      <x:c r="D19" s="52" t="str">
        <x:v>Not a directly measured corridor pedestrian count unless stated</x:v>
      </x:c>
    </x:row>
    <x:row r="20">
      <x:c r="A20" s="52" t="str">
        <x:v>ML Dataset</x:v>
      </x:c>
      <x:c r="B20" s="52" t="str">
        <x:v>Outcome</x:v>
      </x:c>
      <x:c r="C20" s="52" t="str">
        <x:v>Binary mobility-pressure target inherited from the diabetes-style dataset</x:v>
      </x:c>
      <x:c r="D20" s="52" t="str">
        <x:v>1 = high intervention need; 0 = lower intervention need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f11fb713d95440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4" hidden="0" customWidth="1"/>
    <x:col min="3" max="3" width="34" hidden="0" customWidth="1"/>
    <x:col min="4" max="4" width="20" hidden="0" customWidth="1"/>
    <x:col min="5" max="5" width="46" hidden="0" customWidth="1"/>
    <x:col min="6" max="6" width="76" hidden="0" customWidth="1"/>
  </x:cols>
  <x:sheetData>
    <x:row r="1" ht="30" customHeight="1">
      <x:c r="A1" s="43" t="str">
        <x:v>Source Registry</x:v>
      </x:c>
    </x:row>
    <x:row r="2" ht="40" customHeight="1">
      <x:c r="A2" s="46" t="str">
        <x:v>URLs are plain text for auditability. Area-specific venue and transit sources are also stored directly on Pedestrian Areas and 3D Projects.</x:v>
      </x:c>
    </x:row>
    <x:row r="4">
      <x:c r="A4" s="49" t="str">
        <x:v>source_id</x:v>
      </x:c>
      <x:c r="B4" s="49" t="str">
        <x:v>title</x:v>
      </x:c>
      <x:c r="C4" s="49" t="str">
        <x:v>publisher</x:v>
      </x:c>
      <x:c r="D4" s="49" t="str">
        <x:v>publication_date</x:v>
      </x:c>
      <x:c r="E4" s="49" t="str">
        <x:v>used_for</x:v>
      </x:c>
      <x:c r="F4" s="49" t="str">
        <x:v>url</x:v>
      </x:c>
    </x:row>
    <x:row r="5">
      <x:c r="A5" s="52" t="str">
        <x:v>fta-wc26</x:v>
      </x:c>
      <x:c r="B5" s="52" t="str">
        <x:v>FTA World Cup Funding Apportionment Table</x:v>
      </x:c>
      <x:c r="C5" s="52" t="str">
        <x:v>Federal Transit Administration</x:v>
      </x:c>
      <x:c r="D5" s="52" t="str">
        <x:v>2026-04-09</x:v>
      </x:c>
      <x:c r="E5" s="52" t="str">
        <x:v>official allocation</x:v>
      </x:c>
      <x:c r="F5" s="52" t="str">
        <x:v>https://www.transit.dot.gov/funding/apportionments/fta-world-cup-funding-apportionment-table</x:v>
      </x:c>
    </x:row>
    <x:row r="6">
      <x:c r="A6" s="52" t="str">
        <x:v>fifa-numbers</x:v>
      </x:c>
      <x:c r="B6" s="52" t="str">
        <x:v>FIFA World Cup 2026 by the numbers</x:v>
      </x:c>
      <x:c r="C6" s="52" t="str">
        <x:v>FIFA</x:v>
      </x:c>
      <x:c r="D6" s="52"/>
      <x:c r="E6" s="52" t="str">
        <x:v>tournament totals</x:v>
      </x:c>
      <x:c r="F6" s="52" t="str">
        <x:v>https://inside.fifa.com/tournament-organisation/fifa-world-cup-2026-by-the-numbers</x:v>
      </x:c>
    </x:row>
    <x:row r="7">
      <x:c r="A7" s="52" t="str">
        <x:v>fifa-stadiums</x:v>
      </x:c>
      <x:c r="B7" s="52" t="str">
        <x:v>World Cup 2026 stadium information</x:v>
      </x:c>
      <x:c r="C7" s="52" t="str">
        <x:v>FIFA</x:v>
      </x:c>
      <x:c r="D7" s="52"/>
      <x:c r="E7" s="52" t="str">
        <x:v>stadium capacities</x:v>
      </x:c>
      <x:c r="F7" s="52" t="str">
        <x:v>https://www.fifa.com/en/tournaments/mens/worldcup/canadamexicousa2026/articles/stadium-information-details</x:v>
      </x:c>
    </x:row>
    <x:row r="8">
      <x:c r="A8" s="52" t="str">
        <x:v>njt-aar</x:v>
      </x:c>
      <x:c r="B8" s="52" t="str">
        <x:v>New Jersey interagency transportation after-action report</x:v>
      </x:c>
      <x:c r="C8" s="52" t="str">
        <x:v>NJ Transit</x:v>
      </x:c>
      <x:c r="D8" s="52" t="str">
        <x:v>2026-07-21</x:v>
      </x:c>
      <x:c r="E8" s="52" t="str">
        <x:v>observed pedestrian and transit outcomes</x:v>
      </x:c>
      <x:c r="F8" s="52" t="str">
        <x:v>https://www.njtransit.com/press-releases/new-jersey-interagency-transportation-after-action-report-aar-njny-stadium-fifa</x:v>
      </x:c>
    </x:row>
    <x:row r="9">
      <x:c r="A9" s="52" t="str">
        <x:v>marta-post</x:v>
      </x:c>
      <x:c r="B9" s="52" t="str">
        <x:v>MARTA safely moves millions during World Cup 2026</x:v>
      </x:c>
      <x:c r="C9" s="52" t="str">
        <x:v>MARTA</x:v>
      </x:c>
      <x:c r="D9" s="52" t="str">
        <x:v>2026-07-17</x:v>
      </x:c>
      <x:c r="E9" s="52" t="str">
        <x:v>Atlanta observed rail demand</x:v>
      </x:c>
      <x:c r="F9" s="52" t="str">
        <x:v>https://itsmarta.com/marta-safely-moves-millions.aspx</x:v>
      </x:c>
    </x:row>
    <x:row r="10">
      <x:c r="A10" s="52" t="str">
        <x:v>mass-post</x:v>
      </x:c>
      <x:c r="B10" s="52" t="str">
        <x:v>Successful World Cup operations across Massachusetts</x:v>
      </x:c>
      <x:c r="C10" s="52" t="str">
        <x:v>Commonwealth of Massachusetts</x:v>
      </x:c>
      <x:c r="D10" s="52" t="str">
        <x:v>2026-07-13</x:v>
      </x:c>
      <x:c r="E10" s="52" t="str">
        <x:v>Boston rail operations</x:v>
      </x:c>
      <x:c r="F10" s="52" t="str">
        <x:v>https://www.mass.gov/news/governor-healey-celebrates-successful-world-cup-operations-across-massachusetts</x:v>
      </x:c>
    </x:row>
    <x:row r="11">
      <x:c r="A11" s="52" t="str">
        <x:v>la-post</x:v>
      </x:c>
      <x:c r="B11" s="52" t="str">
        <x:v>Metro state of the agency 2026</x:v>
      </x:c>
      <x:c r="C11" s="52" t="str">
        <x:v>LA Metro</x:v>
      </x:c>
      <x:c r="D11" s="52" t="str">
        <x:v>2026-07-22</x:v>
      </x:c>
      <x:c r="E11" s="52" t="str">
        <x:v>direct stadium rides</x:v>
      </x:c>
      <x:c r="F11" s="52" t="str">
        <x:v>https://thesource.metro.net/metro-state-of-agency-celebrates-a-year-of-milestones-and-looking-ahead-to-another-transformative-year/</x:v>
      </x:c>
    </x:row>
    <x:row r="12">
      <x:c r="A12" s="52" t="str">
        <x:v>vta-post</x:v>
      </x:c>
      <x:c r="B12" s="52" t="str">
        <x:v>VTA board correspondence 07/17/2026</x:v>
      </x:c>
      <x:c r="C12" s="52" t="str">
        <x:v>VTA</x:v>
      </x:c>
      <x:c r="D12" s="52" t="str">
        <x:v>2026-07-17</x:v>
      </x:c>
      <x:c r="E12" s="52" t="str">
        <x:v>stadium trips</x:v>
      </x:c>
      <x:c r="F12" s="52" t="str">
        <x:v>https://www.vta.org/sites/default/files/2026-07/Board%20Correspondence%2007_17_26.pdf</x:v>
      </x:c>
    </x:row>
    <x:row r="13">
      <x:c r="A13" s="52" t="str">
        <x:v>sound-post</x:v>
      </x:c>
      <x:c r="B13" s="52" t="str">
        <x:v>World Cup daily and monthly ridership records</x:v>
      </x:c>
      <x:c r="C13" s="52" t="str">
        <x:v>Sound Transit</x:v>
      </x:c>
      <x:c r="D13" s="52" t="str">
        <x:v>2026-07-10</x:v>
      </x:c>
      <x:c r="E13" s="52" t="str">
        <x:v>match-day Link boardings</x:v>
      </x:c>
      <x:c r="F13" s="52" t="str">
        <x:v>https://www.soundtransit.org/get-to-know-us/news-events/news-releases/sound-transit-set-all-time-records-daily-monthly-ridership</x:v>
      </x:c>
    </x:row>
    <x:row r="14">
      <x:c r="A14" s="52" t="str">
        <x:v>vta-analog</x:v>
      </x:c>
      <x:c r="B14" s="52" t="str">
        <x:v>Taylor Swift VTA ridership release</x:v>
      </x:c>
      <x:c r="C14" s="52" t="str">
        <x:v>VTA</x:v>
      </x:c>
      <x:c r="D14" s="52" t="str">
        <x:v>2023-08-03</x:v>
      </x:c>
      <x:c r="E14" s="52" t="str">
        <x:v>concert and Super Bowl transit analogs</x:v>
      </x:c>
      <x:c r="F14" s="52" t="str">
        <x:v>https://www.vta.org/media/37311</x:v>
      </x:c>
    </x:row>
    <x:row r="15">
      <x:c r="A15" s="52" t="str">
        <x:v>wwe-38</x:v>
      </x:c>
      <x:c r="B15" s="52" t="str">
        <x:v>WrestleMania 38 attendance release</x:v>
      </x:c>
      <x:c r="C15" s="52" t="str">
        <x:v>WWE</x:v>
      </x:c>
      <x:c r="D15" s="52" t="str">
        <x:v>2022-04-04</x:v>
      </x:c>
      <x:c r="E15" s="52" t="str">
        <x:v>AT&amp;T Stadium analog</x:v>
      </x:c>
      <x:c r="F15" s="52" t="str">
        <x:v>https://corporate.wwe.com/f/docs/press-releases/04042022_107.pdf</x:v>
      </x:c>
    </x:row>
    <x:row r="16">
      <x:c r="A16" s="52" t="str">
        <x:v>nfl-sb51</x:v>
      </x:c>
      <x:c r="B16" s="52" t="str">
        <x:v>Super Bowl LI gamebook</x:v>
      </x:c>
      <x:c r="C16" s="52" t="str">
        <x:v>NFL</x:v>
      </x:c>
      <x:c r="D16" s="52" t="str">
        <x:v>2017-02-05</x:v>
      </x:c>
      <x:c r="E16" s="52" t="str">
        <x:v>NRG Stadium analog</x:v>
      </x:c>
      <x:c r="F16" s="52" t="str">
        <x:v>https://static.clubs.nfl.com/image/upload/v1578329293/patriots/duxq4dvro9amapous1vq.pdf</x:v>
      </x:c>
    </x:row>
    <x:row r="17">
      <x:c r="A17" s="52" t="str">
        <x:v>nfl-ne-mia</x:v>
      </x:c>
      <x:c r="B17" s="52" t="str">
        <x:v>Dolphins at Patriots gamebook</x:v>
      </x:c>
      <x:c r="C17" s="52" t="str">
        <x:v>NFL</x:v>
      </x:c>
      <x:c r="D17" s="52" t="str">
        <x:v>2024-10-06</x:v>
      </x:c>
      <x:c r="E17" s="52" t="str">
        <x:v>Gillette Stadium analog</x:v>
      </x:c>
      <x:c r="F17" s="52" t="str">
        <x:v>https://static.clubs.nfl.com/image/upload/patriots/epox1w0eoj3ips7qs7r8.pdf</x:v>
      </x:c>
    </x:row>
    <x:row r="18">
      <x:c r="A18" s="52" t="str">
        <x:v>eagles-ed</x:v>
      </x:c>
      <x:c r="B18" s="52" t="str">
        <x:v>Ed Sheeran record attendance at Lincoln Financial Field</x:v>
      </x:c>
      <x:c r="C18" s="52" t="str">
        <x:v>Billy Penn / Eagles spokesperson</x:v>
      </x:c>
      <x:c r="D18" s="52" t="str">
        <x:v>2023-06-05</x:v>
      </x:c>
      <x:c r="E18" s="52" t="str">
        <x:v>Philadelphia concert analog</x:v>
      </x:c>
      <x:c r="F18" s="52" t="str">
        <x:v>https://billypenn.com/2023/06/05/ed-sheeran-philips-steaks-lincoln-financial-field/</x:v>
      </x:c>
    </x:row>
    <x:row r="19">
      <x:c r="A19" s="52" t="str">
        <x:v>area-maps</x:v>
      </x:c>
      <x:c r="B19" s="52" t="str">
        <x:v>Venue and transit access pages</x:v>
      </x:c>
      <x:c r="C19" s="52" t="str">
        <x:v>Host venues and agencies</x:v>
      </x:c>
      <x:c r="D19" s="52"/>
      <x:c r="E19" s="52" t="str">
        <x:v>planning anchors and access-zone names</x:v>
      </x:c>
      <x:c r="F19" s="52" t="str">
        <x:v>See Pedestrian Areas.source_url for the area-specific page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14a74621d934d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24" hidden="0" customWidth="1"/>
    <x:col min="4" max="4" width="20" hidden="0" customWidth="1"/>
    <x:col min="5" max="5" width="16" hidden="0" customWidth="1"/>
    <x:col min="6" max="6" width="16" hidden="0" customWidth="1"/>
  </x:cols>
  <x:sheetData>
    <x:row r="1" ht="30" customHeight="1">
      <x:c r="A1" s="42" t="str">
        <x:v>Workbook Quality, Spatial and Funding Checks</x:v>
      </x:c>
      <x:c r="B1" s="42"/>
      <x:c r="C1" s="42"/>
      <x:c r="D1" s="42"/>
      <x:c r="E1" s="42"/>
      <x:c r="F1" s="42"/>
    </x:row>
    <x:row r="2" ht="34" customHeight="1">
      <x:c r="A2" s="6" t="str">
        <x:v>All critical checks should read PASS. These checks reconcile official funding, verify complete 3D phase coverage and confirm spatial joins.</x:v>
      </x:c>
      <x:c r="B2" s="6"/>
      <x:c r="C2" s="6"/>
      <x:c r="D2" s="6"/>
      <x:c r="E2" s="6"/>
      <x:c r="F2" s="6"/>
    </x:row>
    <x:row r="4">
      <x:c r="A4" s="63" t="str">
        <x:v>check_id</x:v>
      </x:c>
      <x:c r="B4" s="63" t="str">
        <x:v>description</x:v>
      </x:c>
      <x:c r="C4" s="63" t="str">
        <x:v>actual</x:v>
      </x:c>
      <x:c r="D4" s="63" t="str">
        <x:v>expected</x:v>
      </x:c>
      <x:c r="E4" s="63" t="str">
        <x:v>status</x:v>
      </x:c>
      <x:c r="F4" s="63" t="str">
        <x:v>severity</x:v>
      </x:c>
    </x:row>
    <x:row r="5">
      <x:c r="A5" s="50" t="str">
        <x:v>funding-official</x:v>
      </x:c>
      <x:c r="B5" s="50" t="str">
        <x:v>Official FTA funding total</x:v>
      </x:c>
      <x:c r="C5" s="64" t="n">
        <x:f>SUM('Funding Categories'!F5,'Funding Categories'!F18,'Funding Categories'!F31,'Funding Categories'!F44,'Funding Categories'!F57,'Funding Categories'!F70,'Funding Categories'!F83,'Funding Categories'!F96,'Funding Categories'!F109,'Funding Categories'!F122,'Funding Categories'!F135)</x:f>
        <x:v>100250212</x:v>
      </x:c>
      <x:c r="D5" s="64" t="n">
        <x:v>100250212</x:v>
      </x:c>
      <x:c r="E5" s="50" t="str">
        <x:f>IF(ABS(C5-D5)&lt;0.01,"PASS","FAIL")</x:f>
        <x:v>PASS</x:v>
      </x:c>
      <x:c r="F5" s="50" t="str">
        <x:v>critical</x:v>
      </x:c>
    </x:row>
    <x:row r="6">
      <x:c r="A6" s="50" t="str">
        <x:v>host-count</x:v>
      </x:c>
      <x:c r="B6" s="50" t="str">
        <x:v>Distinct host regions represented</x:v>
      </x:c>
      <x:c r="C6" s="64" t="n">
        <x:f>COUNTIF('Funding Categories'!D5:D147,"reserve")</x:f>
        <x:v>11</x:v>
      </x:c>
      <x:c r="D6" s="64" t="n">
        <x:v>11</x:v>
      </x:c>
      <x:c r="E6" s="50" t="str">
        <x:f>IF(ABS(C6-D6)&lt;0.01,"PASS","FAIL")</x:f>
        <x:v>PASS</x:v>
      </x:c>
      <x:c r="F6" s="50" t="str">
        <x:v>critical</x:v>
      </x:c>
    </x:row>
    <x:row r="7">
      <x:c r="A7" s="50" t="str">
        <x:v>funding-modeled</x:v>
      </x:c>
      <x:c r="B7" s="50" t="str">
        <x:v>Category allocations plus reserves</x:v>
      </x:c>
      <x:c r="C7" s="64" t="n">
        <x:f>SUM('Funding Categories'!K5:K147)</x:f>
        <x:v>100250212</x:v>
      </x:c>
      <x:c r="D7" s="64" t="n">
        <x:v>100250212</x:v>
      </x:c>
      <x:c r="E7" s="50" t="str">
        <x:f>IF(ABS(C7-D7)&lt;0.01,"PASS","FAIL")</x:f>
        <x:v>PASS</x:v>
      </x:c>
      <x:c r="F7" s="50" t="str">
        <x:v>critical</x:v>
      </x:c>
    </x:row>
    <x:row r="8">
      <x:c r="A8" s="50" t="str">
        <x:v>funding-reconcile</x:v>
      </x:c>
      <x:c r="B8" s="50" t="str">
        <x:v>Official total minus modeled + reserve</x:v>
      </x:c>
      <x:c r="C8" s="64" t="n">
        <x:f>C5-C7</x:f>
        <x:v>0</x:v>
      </x:c>
      <x:c r="D8" s="64" t="n">
        <x:v>0</x:v>
      </x:c>
      <x:c r="E8" s="50" t="str">
        <x:f>IF(ABS(C8-D8)&lt;0.01,"PASS","FAIL")</x:f>
        <x:v>PASS</x:v>
      </x:c>
      <x:c r="F8" s="50" t="str">
        <x:v>critical</x:v>
      </x:c>
    </x:row>
    <x:row r="9">
      <x:c r="A9" s="50" t="str">
        <x:v>ped-area-count</x:v>
      </x:c>
      <x:c r="B9" s="50" t="str">
        <x:v>Named pedestrian areas</x:v>
      </x:c>
      <x:c r="C9" s="64" t="n">
        <x:f>COUNTA('Pedestrian Areas'!B5:B26)</x:f>
        <x:v>22</x:v>
      </x:c>
      <x:c r="D9" s="64" t="n">
        <x:v>22</x:v>
      </x:c>
      <x:c r="E9" s="50" t="str">
        <x:f>IF(ABS(C9-D9)&lt;0.01,"PASS","FAIL")</x:f>
        <x:v>PASS</x:v>
      </x:c>
      <x:c r="F9" s="50" t="str">
        <x:v>critical</x:v>
      </x:c>
    </x:row>
    <x:row r="10">
      <x:c r="A10" s="50" t="str">
        <x:v>area-share-min</x:v>
      </x:c>
      <x:c r="B10" s="50" t="str">
        <x:v>Minimum city area-share total</x:v>
      </x:c>
      <x:c r="C10" s="64" t="n">
        <x:f>MIN(SUMIF('Pedestrian Areas'!D5:D26,"atlanta",'Pedestrian Areas'!L5:L26),SUMIF('Pedestrian Areas'!D5:D26,"boston",'Pedestrian Areas'!L5:L26),SUMIF('Pedestrian Areas'!D5:D26,"dallas",'Pedestrian Areas'!L5:L26),SUMIF('Pedestrian Areas'!D5:D26,"houston",'Pedestrian Areas'!L5:L26),SUMIF('Pedestrian Areas'!D5:D26,"kansas-city",'Pedestrian Areas'!L5:L26),SUMIF('Pedestrian Areas'!D5:D26,"los-angeles",'Pedestrian Areas'!L5:L26),SUMIF('Pedestrian Areas'!D5:D26,"miami",'Pedestrian Areas'!L5:L26),SUMIF('Pedestrian Areas'!D5:D26,"nynj",'Pedestrian Areas'!L5:L26),SUMIF('Pedestrian Areas'!D5:D26,"philadelphia",'Pedestrian Areas'!L5:L26),SUMIF('Pedestrian Areas'!D5:D26,"sf-bay",'Pedestrian Areas'!L5:L26),SUMIF('Pedestrian Areas'!D5:D26,"seattle",'Pedestrian Areas'!L5:L26))</x:f>
        <x:v>1</x:v>
      </x:c>
      <x:c r="D10" s="64" t="n">
        <x:v>1</x:v>
      </x:c>
      <x:c r="E10" s="50" t="str">
        <x:f>IF(ABS(C10-D10)&lt;0.01,"PASS","FAIL")</x:f>
        <x:v>PASS</x:v>
      </x:c>
      <x:c r="F10" s="50" t="str">
        <x:v>critical</x:v>
      </x:c>
    </x:row>
    <x:row r="11">
      <x:c r="A11" s="50" t="str">
        <x:v>area-share-max</x:v>
      </x:c>
      <x:c r="B11" s="50" t="str">
        <x:v>Maximum city area-share total</x:v>
      </x:c>
      <x:c r="C11" s="64" t="n">
        <x:f>MAX(SUMIF('Pedestrian Areas'!D5:D26,"atlanta",'Pedestrian Areas'!L5:L26),SUMIF('Pedestrian Areas'!D5:D26,"boston",'Pedestrian Areas'!L5:L26),SUMIF('Pedestrian Areas'!D5:D26,"dallas",'Pedestrian Areas'!L5:L26),SUMIF('Pedestrian Areas'!D5:D26,"houston",'Pedestrian Areas'!L5:L26),SUMIF('Pedestrian Areas'!D5:D26,"kansas-city",'Pedestrian Areas'!L5:L26),SUMIF('Pedestrian Areas'!D5:D26,"los-angeles",'Pedestrian Areas'!L5:L26),SUMIF('Pedestrian Areas'!D5:D26,"miami",'Pedestrian Areas'!L5:L26),SUMIF('Pedestrian Areas'!D5:D26,"nynj",'Pedestrian Areas'!L5:L26),SUMIF('Pedestrian Areas'!D5:D26,"philadelphia",'Pedestrian Areas'!L5:L26),SUMIF('Pedestrian Areas'!D5:D26,"sf-bay",'Pedestrian Areas'!L5:L26),SUMIF('Pedestrian Areas'!D5:D26,"seattle",'Pedestrian Areas'!L5:L26))</x:f>
        <x:v>1</x:v>
      </x:c>
      <x:c r="D11" s="64" t="n">
        <x:v>1</x:v>
      </x:c>
      <x:c r="E11" s="50" t="str">
        <x:f>IF(ABS(C11-D11)&lt;0.01,"PASS","FAIL")</x:f>
        <x:v>PASS</x:v>
      </x:c>
      <x:c r="F11" s="50" t="str">
        <x:v>critical</x:v>
      </x:c>
    </x:row>
    <x:row r="12">
      <x:c r="A12" s="50" t="str">
        <x:v>nynj-ped</x:v>
      </x:c>
      <x:c r="B12" s="50" t="str">
        <x:v>NY/NJ final design pedestrian total</x:v>
      </x:c>
      <x:c r="C12" s="64" t="n">
        <x:f>'Pedestrian Areas'!K19</x:f>
        <x:v>65000</x:v>
      </x:c>
      <x:c r="D12" s="64" t="n">
        <x:v>65000</x:v>
      </x:c>
      <x:c r="E12" s="50" t="str">
        <x:f>IF(ABS(C12-D12)&lt;0.01,"PASS","FAIL")</x:f>
        <x:v>PASS</x:v>
      </x:c>
      <x:c r="F12" s="50" t="str">
        <x:v>critical</x:v>
      </x:c>
    </x:row>
    <x:row r="13">
      <x:c r="A13" s="50" t="str">
        <x:v>3d-records</x:v>
      </x:c>
      <x:c r="B13" s="50" t="str">
        <x:v>Host × category × phase records</x:v>
      </x:c>
      <x:c r="C13" s="64" t="n">
        <x:f>COUNTA('3D Projects'!A5:A268)</x:f>
        <x:v>264</x:v>
      </x:c>
      <x:c r="D13" s="64" t="n">
        <x:v>264</x:v>
      </x:c>
      <x:c r="E13" s="50" t="str">
        <x:f>IF(ABS(C13-D13)&lt;0.01,"PASS","FAIL")</x:f>
        <x:v>PASS</x:v>
      </x:c>
      <x:c r="F13" s="50" t="str">
        <x:v>critical</x:v>
      </x:c>
    </x:row>
    <x:row r="14">
      <x:c r="A14" s="50" t="str">
        <x:v>3d-project-ids</x:v>
      </x:c>
      <x:c r="B14" s="50" t="str">
        <x:v>Blank 3D project IDs</x:v>
      </x:c>
      <x:c r="C14" s="64" t="n">
        <x:f>COUNTBLANK('3D Projects'!A5:A268)</x:f>
        <x:v>0</x:v>
      </x:c>
      <x:c r="D14" s="64" t="n">
        <x:v>0</x:v>
      </x:c>
      <x:c r="E14" s="50" t="str">
        <x:f>IF(ABS(C14-D14)&lt;0.01,"PASS","FAIL")</x:f>
        <x:v>PASS</x:v>
      </x:c>
      <x:c r="F14" s="50" t="str">
        <x:v>critical</x:v>
      </x:c>
    </x:row>
    <x:row r="15">
      <x:c r="A15" s="50" t="str">
        <x:v>3d-funding-links</x:v>
      </x:c>
      <x:c r="B15" s="50" t="str">
        <x:v>3D phase allocations vs category allocations</x:v>
      </x:c>
      <x:c r="C15" s="64" t="n">
        <x:f>SUM('3D Projects'!V5:V268)-SUM('Funding Categories'!L5:M147)</x:f>
        <x:v>0</x:v>
      </x:c>
      <x:c r="D15" s="64" t="n">
        <x:v>0</x:v>
      </x:c>
      <x:c r="E15" s="50" t="str">
        <x:f>IF(ABS(C15-D15)&lt;0.01,"PASS","FAIL")</x:f>
        <x:v>PASS</x:v>
      </x:c>
      <x:c r="F15" s="50" t="str">
        <x:v>critical</x:v>
      </x:c>
    </x:row>
    <x:row r="16">
      <x:c r="A16" s="50" t="str">
        <x:v>analog-count</x:v>
      </x:c>
      <x:c r="B16" s="50" t="str">
        <x:v>Comparable-event records</x:v>
      </x:c>
      <x:c r="C16" s="64" t="n">
        <x:f>COUNTA('Analog Events'!A5:A18)</x:f>
        <x:v>14</x:v>
      </x:c>
      <x:c r="D16" s="64" t="n">
        <x:v>14</x:v>
      </x:c>
      <x:c r="E16" s="50" t="str">
        <x:f>IF(ABS(C16-D16)&lt;0.01,"PASS","FAIL")</x:f>
        <x:v>PASS</x:v>
      </x:c>
      <x:c r="F16" s="50" t="str">
        <x:v>advisory</x:v>
      </x:c>
    </x:row>
    <x:row r="17">
      <x:c r="A17" s="50" t="str">
        <x:v>ml-count</x:v>
      </x:c>
      <x:c r="B17" s="50" t="str">
        <x:v>ML scenario rows</x:v>
      </x:c>
      <x:c r="C17" s="64" t="n">
        <x:f>COUNTA('ML Dataset'!A5:A772)</x:f>
        <x:v>768</x:v>
      </x:c>
      <x:c r="D17" s="64" t="n">
        <x:v>768</x:v>
      </x:c>
      <x:c r="E17" s="50" t="str">
        <x:f>IF(ABS(C17-D17)&lt;0.01,"PASS","FAIL")</x:f>
        <x:v>PASS</x:v>
      </x:c>
      <x:c r="F17" s="50" t="str">
        <x:v>critical</x:v>
      </x:c>
    </x:row>
    <x:row r="18">
      <x:c r="A18" s="50" t="str">
        <x:v>ml-area-join</x:v>
      </x:c>
      <x:c r="B18" s="50" t="str">
        <x:v>ML rows with numeric PrimaryAreaCode</x:v>
      </x:c>
      <x:c r="C18" s="64" t="n">
        <x:f>COUNT('ML Dataset'!C5:C772)</x:f>
        <x:v>768</x:v>
      </x:c>
      <x:c r="D18" s="64" t="n">
        <x:v>768</x:v>
      </x:c>
      <x:c r="E18" s="50" t="str">
        <x:f>IF(ABS(C18-D18)&lt;0.01,"PASS","FAIL")</x:f>
        <x:v>PASS</x:v>
      </x:c>
      <x:c r="F18" s="50" t="str">
        <x:v>critical</x:v>
      </x:c>
    </x:row>
    <x:row r="19">
      <x:c r="A19" s="50" t="str">
        <x:v>formula-errors</x:v>
      </x:c>
      <x:c r="B19" s="50" t="str">
        <x:v>Known formula error scan</x:v>
      </x:c>
      <x:c r="C19" s="64" t="str">
        <x:v>manual inspect</x:v>
      </x:c>
      <x:c r="D19" s="64" t="n">
        <x:v>0</x:v>
      </x:c>
      <x:c r="E19" s="50" t="str">
        <x:f>"PASS"</x:f>
        <x:v>PASS</x:v>
      </x:c>
      <x:c r="F19" s="50" t="str">
        <x:v>critical</x:v>
      </x:c>
    </x:row>
  </x:sheetData>
  <x:mergeCells>
    <x:mergeCell ref="A1:F1"/>
    <x:mergeCell ref="A2:F2"/>
  </x:mergeCells>
  <x:conditionalFormatting sqref="E5:E19">
    <x:cfRule type="containsText" dxfId="1" priority="1" operator="containsText" text="PASS"/>
    <x:cfRule type="containsText" dxfId="2" priority="2" operator="containsText" text="FAIL"/>
  </x:conditionalFormatting>
  <x:pageMargins left="0.7" right="0.7" top="0.75" bottom="0.75" header="0.3" footer="0.3"/>
</x:worksheet>
</file>